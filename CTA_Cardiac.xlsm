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hildrens\files\WebForms\Template\"/>
    </mc:Choice>
  </mc:AlternateContent>
  <xr:revisionPtr revIDLastSave="0" documentId="13_ncr:1_{EAEE0B4F-6EFF-4526-9811-D8AD6895CAA1}" xr6:coauthVersionLast="47" xr6:coauthVersionMax="47" xr10:uidLastSave="{00000000-0000-0000-0000-000000000000}"/>
  <bookViews>
    <workbookView xWindow="35265" yWindow="1080" windowWidth="21600" windowHeight="15915" xr2:uid="{A044ADA2-59A0-4066-9BC1-D937344BA033}"/>
  </bookViews>
  <sheets>
    <sheet name="Z Value Calculator" sheetId="3" r:id="rId1"/>
    <sheet name="Mappings" sheetId="9" r:id="rId2"/>
    <sheet name="Static" sheetId="2" r:id="rId3"/>
  </sheets>
  <definedNames>
    <definedName name="MeasurementSequences">Static!$A$3:$A$7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9" i="9" l="1"/>
  <c r="J60" i="9"/>
  <c r="J29" i="9"/>
  <c r="J30" i="9"/>
  <c r="J53" i="9"/>
  <c r="J54" i="9"/>
  <c r="J55" i="9"/>
  <c r="J56" i="9"/>
  <c r="J57" i="9"/>
  <c r="J58" i="9"/>
  <c r="J61" i="9"/>
  <c r="J62" i="9"/>
  <c r="J63" i="9"/>
  <c r="J64" i="9"/>
  <c r="J65" i="9"/>
  <c r="J66" i="9"/>
  <c r="J52" i="9"/>
  <c r="J23" i="9"/>
  <c r="J24" i="9"/>
  <c r="J25" i="9"/>
  <c r="J26" i="9"/>
  <c r="J27" i="9"/>
  <c r="J28" i="9"/>
  <c r="J31" i="9"/>
  <c r="J32" i="9"/>
  <c r="J33" i="9"/>
  <c r="J34" i="9"/>
  <c r="J35" i="9"/>
  <c r="J36" i="9"/>
  <c r="J22" i="9"/>
  <c r="I55" i="3"/>
  <c r="D59" i="3" s="1"/>
  <c r="I9" i="3"/>
  <c r="E41" i="3" s="1"/>
  <c r="J73" i="9" s="1"/>
  <c r="B55" i="3"/>
  <c r="E55" i="3"/>
  <c r="J82" i="9"/>
  <c r="J83" i="9"/>
  <c r="J84" i="9"/>
  <c r="J85" i="9"/>
  <c r="J86" i="9"/>
  <c r="J87" i="9"/>
  <c r="J88" i="9"/>
  <c r="J89" i="9"/>
  <c r="J90" i="9"/>
  <c r="J91" i="9"/>
  <c r="J92" i="9"/>
  <c r="J93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F59" i="3" l="1"/>
  <c r="E26" i="3"/>
  <c r="E32" i="3"/>
  <c r="E31" i="3"/>
  <c r="J50" i="9" s="1"/>
  <c r="E30" i="3"/>
  <c r="J49" i="9" s="1"/>
  <c r="E29" i="3"/>
  <c r="J48" i="9" s="1"/>
  <c r="E28" i="3"/>
  <c r="J47" i="9" s="1"/>
  <c r="D28" i="3"/>
  <c r="E27" i="3"/>
  <c r="J46" i="9" s="1"/>
  <c r="D26" i="3"/>
  <c r="E25" i="3"/>
  <c r="J44" i="9" s="1"/>
  <c r="D32" i="3"/>
  <c r="D31" i="3"/>
  <c r="D30" i="3"/>
  <c r="D29" i="3"/>
  <c r="D27" i="3"/>
  <c r="D24" i="3"/>
  <c r="D21" i="3"/>
  <c r="E20" i="3"/>
  <c r="J39" i="9" s="1"/>
  <c r="D20" i="3"/>
  <c r="E21" i="3"/>
  <c r="J40" i="9" s="1"/>
  <c r="D18" i="3"/>
  <c r="E19" i="3"/>
  <c r="J38" i="9" s="1"/>
  <c r="D25" i="3"/>
  <c r="E24" i="3"/>
  <c r="J43" i="9" s="1"/>
  <c r="E23" i="3"/>
  <c r="J42" i="9" s="1"/>
  <c r="D23" i="3"/>
  <c r="E22" i="3"/>
  <c r="J41" i="9" s="1"/>
  <c r="D22" i="3"/>
  <c r="E18" i="3"/>
  <c r="J37" i="9" s="1"/>
  <c r="D19" i="3"/>
  <c r="D42" i="3"/>
  <c r="E42" i="3"/>
  <c r="J74" i="9" s="1"/>
  <c r="D49" i="3"/>
  <c r="D48" i="3"/>
  <c r="D47" i="3"/>
  <c r="D46" i="3"/>
  <c r="D45" i="3"/>
  <c r="D44" i="3"/>
  <c r="D43" i="3"/>
  <c r="D41" i="3"/>
  <c r="D40" i="3"/>
  <c r="D39" i="3"/>
  <c r="D38" i="3"/>
  <c r="D37" i="3"/>
  <c r="D36" i="3"/>
  <c r="F60" i="3"/>
  <c r="D35" i="3"/>
  <c r="E38" i="3"/>
  <c r="J70" i="9" s="1"/>
  <c r="E40" i="3"/>
  <c r="J72" i="9" s="1"/>
  <c r="E36" i="3"/>
  <c r="J68" i="9" s="1"/>
  <c r="E39" i="3"/>
  <c r="J71" i="9" s="1"/>
  <c r="J51" i="9"/>
  <c r="J45" i="9"/>
  <c r="E35" i="3"/>
  <c r="J67" i="9" s="1"/>
  <c r="E49" i="3"/>
  <c r="J81" i="9" s="1"/>
  <c r="E48" i="3"/>
  <c r="J80" i="9" s="1"/>
  <c r="E47" i="3"/>
  <c r="J79" i="9" s="1"/>
  <c r="E46" i="3"/>
  <c r="J78" i="9" s="1"/>
  <c r="E45" i="3"/>
  <c r="J77" i="9" s="1"/>
  <c r="E44" i="3"/>
  <c r="J76" i="9" s="1"/>
  <c r="E43" i="3"/>
  <c r="J75" i="9" s="1"/>
  <c r="E37" i="3"/>
  <c r="J69" i="9" s="1"/>
  <c r="J10" i="9" l="1"/>
  <c r="J94" i="9"/>
  <c r="M72" i="3"/>
  <c r="J177" i="9" s="1"/>
  <c r="F69" i="3"/>
  <c r="J126" i="9" s="1"/>
  <c r="M71" i="3"/>
  <c r="J176" i="9" s="1"/>
  <c r="M69" i="3"/>
  <c r="J174" i="9" s="1"/>
  <c r="F67" i="3"/>
  <c r="J124" i="9" s="1"/>
  <c r="M70" i="3"/>
  <c r="J175" i="9" s="1"/>
  <c r="F63" i="3"/>
  <c r="J122" i="9" s="1"/>
  <c r="M68" i="3"/>
  <c r="J173" i="9" s="1"/>
  <c r="M67" i="3"/>
  <c r="J172" i="9" s="1"/>
  <c r="M64" i="3"/>
  <c r="J171" i="9" s="1"/>
  <c r="M59" i="3"/>
  <c r="J166" i="9" s="1"/>
  <c r="F71" i="3"/>
  <c r="J128" i="9" s="1"/>
  <c r="F62" i="3"/>
  <c r="J121" i="9" s="1"/>
  <c r="M63" i="3"/>
  <c r="J170" i="9" s="1"/>
  <c r="F68" i="3"/>
  <c r="J125" i="9" s="1"/>
  <c r="F61" i="3"/>
  <c r="J120" i="9" s="1"/>
  <c r="M62" i="3"/>
  <c r="J169" i="9" s="1"/>
  <c r="F72" i="3"/>
  <c r="J129" i="9" s="1"/>
  <c r="F70" i="3"/>
  <c r="J127" i="9" s="1"/>
  <c r="J118" i="9"/>
  <c r="M61" i="3"/>
  <c r="J168" i="9" s="1"/>
  <c r="M60" i="3"/>
  <c r="J167" i="9" s="1"/>
  <c r="F64" i="3"/>
  <c r="J123" i="9" s="1"/>
  <c r="J119" i="9"/>
  <c r="L69" i="3"/>
  <c r="J162" i="9" s="1"/>
  <c r="E71" i="3"/>
  <c r="J116" i="9" s="1"/>
  <c r="L70" i="3"/>
  <c r="J163" i="9" s="1"/>
  <c r="L71" i="3"/>
  <c r="J164" i="9" s="1"/>
  <c r="E59" i="3"/>
  <c r="J106" i="9" s="1"/>
  <c r="L72" i="3"/>
  <c r="J165" i="9" s="1"/>
  <c r="E70" i="3"/>
  <c r="J115" i="9" s="1"/>
  <c r="D72" i="3"/>
  <c r="J105" i="9" s="1"/>
  <c r="L67" i="3"/>
  <c r="J160" i="9" s="1"/>
  <c r="D71" i="3"/>
  <c r="J104" i="9" s="1"/>
  <c r="L60" i="3"/>
  <c r="J155" i="9" s="1"/>
  <c r="D70" i="3"/>
  <c r="J103" i="9" s="1"/>
  <c r="L61" i="3"/>
  <c r="J156" i="9" s="1"/>
  <c r="E69" i="3"/>
  <c r="J114" i="9" s="1"/>
  <c r="D69" i="3"/>
  <c r="J102" i="9" s="1"/>
  <c r="L62" i="3"/>
  <c r="J157" i="9" s="1"/>
  <c r="D68" i="3"/>
  <c r="J101" i="9" s="1"/>
  <c r="L63" i="3"/>
  <c r="J158" i="9" s="1"/>
  <c r="D67" i="3"/>
  <c r="J100" i="9" s="1"/>
  <c r="L64" i="3"/>
  <c r="J159" i="9" s="1"/>
  <c r="E68" i="3"/>
  <c r="J113" i="9" s="1"/>
  <c r="D64" i="3"/>
  <c r="J99" i="9" s="1"/>
  <c r="L59" i="3"/>
  <c r="J154" i="9" s="1"/>
  <c r="D63" i="3"/>
  <c r="J98" i="9" s="1"/>
  <c r="K68" i="3"/>
  <c r="J149" i="9" s="1"/>
  <c r="D62" i="3"/>
  <c r="J97" i="9" s="1"/>
  <c r="K69" i="3"/>
  <c r="J150" i="9" s="1"/>
  <c r="E67" i="3"/>
  <c r="J112" i="9" s="1"/>
  <c r="D61" i="3"/>
  <c r="J96" i="9" s="1"/>
  <c r="K70" i="3"/>
  <c r="J151" i="9" s="1"/>
  <c r="D60" i="3"/>
  <c r="J95" i="9" s="1"/>
  <c r="K71" i="3"/>
  <c r="J152" i="9" s="1"/>
  <c r="K72" i="3"/>
  <c r="J153" i="9" s="1"/>
  <c r="E64" i="3"/>
  <c r="J111" i="9" s="1"/>
  <c r="K67" i="3"/>
  <c r="J148" i="9" s="1"/>
  <c r="K60" i="3"/>
  <c r="J143" i="9" s="1"/>
  <c r="K61" i="3"/>
  <c r="J144" i="9" s="1"/>
  <c r="E63" i="3"/>
  <c r="J110" i="9" s="1"/>
  <c r="K62" i="3"/>
  <c r="J145" i="9" s="1"/>
  <c r="K63" i="3"/>
  <c r="J146" i="9" s="1"/>
  <c r="K64" i="3"/>
  <c r="J147" i="9" s="1"/>
  <c r="E62" i="3"/>
  <c r="J109" i="9" s="1"/>
  <c r="K59" i="3"/>
  <c r="J142" i="9" s="1"/>
  <c r="E61" i="3"/>
  <c r="J108" i="9" s="1"/>
  <c r="E72" i="3"/>
  <c r="J117" i="9" s="1"/>
  <c r="L68" i="3"/>
  <c r="J161" i="9" s="1"/>
  <c r="E60" i="3"/>
  <c r="J107" i="9" s="1"/>
  <c r="J21" i="9"/>
  <c r="J7" i="9"/>
  <c r="J19" i="9" l="1"/>
  <c r="F6" i="9" l="1"/>
  <c r="F7" i="9" s="1"/>
  <c r="F8" i="9" s="1"/>
  <c r="F9" i="9" s="1"/>
  <c r="L6" i="9"/>
  <c r="L7" i="9" s="1"/>
  <c r="L8" i="9" s="1"/>
  <c r="L9" i="9" s="1"/>
  <c r="L10" i="9" s="1"/>
  <c r="M6" i="9"/>
  <c r="M7" i="9" s="1"/>
  <c r="M8" i="9" s="1"/>
  <c r="M9" i="9" s="1"/>
  <c r="M10" i="9" s="1"/>
  <c r="J20" i="9"/>
  <c r="J9" i="9"/>
  <c r="J8" i="9"/>
  <c r="J18" i="9"/>
  <c r="J6" i="9"/>
  <c r="J5" i="9"/>
  <c r="D17" i="9"/>
  <c r="D13" i="9"/>
  <c r="D11" i="9"/>
  <c r="D10" i="9"/>
  <c r="D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15EEEF-932E-49D7-806C-3BDE1103A149}" name="Output" type="4" refreshedVersion="0" background="1">
    <webPr xml="1" sourceData="1" url="C:\CTA\Test\Output.xml" htmlTables="1" htmlFormat="all"/>
  </connection>
  <connection id="2" xr16:uid="{DAE7FAFF-62E6-4946-B183-2A706C0B3BC2}" name="Output_With_Text" type="4" refreshedVersion="0" background="1">
    <webPr xml="1" sourceData="1" url="C:\CTA\Test\Output_With_Text.xml" htmlTables="1" htmlFormat="all"/>
  </connection>
  <connection id="3" xr16:uid="{E5E4F5D3-9275-4FE9-B636-22D393E5DBAB}" name="Output_With_Text1" type="4" refreshedVersion="0" background="1">
    <webPr xml="1" sourceData="1" url="C:\CTA\Test\Output_With_Text.xml" htmlTables="1" htmlFormat="all"/>
  </connection>
  <connection id="4" xr16:uid="{8CF6ACBB-0F1D-4031-983F-8E94BF8A9C5F}" name="Output_With_Text2" type="4" refreshedVersion="0" background="1">
    <webPr xml="1" sourceData="1" url="C:\CTA\Test\Output_With_Text.xml" htmlTables="1" htmlFormat="all"/>
  </connection>
  <connection id="5" xr16:uid="{7388A5E5-C9BF-44BD-8FF7-61F456866101}" name="Output_With_Text3" type="4" refreshedVersion="0" background="1">
    <webPr xml="1" sourceData="1" url="C:\CTA\Test\Output_With_Text.xml" htmlTables="1" htmlFormat="all"/>
  </connection>
  <connection id="6" xr16:uid="{B29B616C-23FA-4115-BEDA-61B4226AF2B1}" name="SR" type="4" refreshedVersion="0" background="1">
    <webPr xml="1" sourceData="1" url="C:\CTA\SR.xml" htmlTables="1" htmlFormat="all"/>
  </connection>
  <connection id="7" xr16:uid="{65520106-CD45-4E01-80DF-B085DEEF7AC3}" name="SR_MODIFIED" type="4" refreshedVersion="0" background="1">
    <webPr xml="1" sourceData="1" url="C:\CTA\SR_MODIFIED.xml" htmlTables="1" htmlFormat="all"/>
  </connection>
  <connection id="8" xr16:uid="{D2B1C3A2-6C5B-4737-A470-703C6112E7AF}" name="SR_MODIFIED1" type="4" refreshedVersion="0" background="1">
    <webPr xml="1" sourceData="1" url="C:\CTA\SR_MODIFIED.xml" htmlTables="1" htmlFormat="all"/>
  </connection>
  <connection id="9" xr16:uid="{C1F3DCE5-F3BC-47F8-B940-5E5ACA626DF5}" name="SR_MODIFIED2" type="4" refreshedVersion="0" background="1">
    <webPr xml="1" sourceData="1" url="C:\CTA\SR_MODIFIED.xml" htmlTables="1" htmlFormat="all"/>
  </connection>
  <connection id="10" xr16:uid="{2C49E0A0-7884-49E5-98FB-890305081E69}" name="sr_xml" type="4" refreshedVersion="0" background="1">
    <webPr xml="1" sourceData="1" url="C:\sr\sr_xml.xml" htmlTables="1" htmlFormat="all"/>
  </connection>
  <connection id="11" xr16:uid="{D342B880-0783-429D-A251-3D3AB10C82ED}" name="sr_xml1" type="4" refreshedVersion="0" background="1">
    <webPr xml="1" sourceData="1" url="C:\sr\sr_xml.xml" htmlTables="1" htmlFormat="all"/>
  </connection>
  <connection id="12" xr16:uid="{B62C7618-09F5-49B5-B0F9-F4AE2F835EFD}" name="SR1" type="4" refreshedVersion="0" background="1">
    <webPr xml="1" sourceData="1" url="C:\CTA\SR.xml" htmlTables="1" htmlFormat="all"/>
  </connection>
</connections>
</file>

<file path=xl/sharedStrings.xml><?xml version="1.0" encoding="utf-8"?>
<sst xmlns="http://schemas.openxmlformats.org/spreadsheetml/2006/main" count="1372" uniqueCount="307">
  <si>
    <t>Sequences</t>
  </si>
  <si>
    <t>3D T1 IR FLASH</t>
  </si>
  <si>
    <t>2D DB HASTE</t>
  </si>
  <si>
    <t>2D true FISP localizers</t>
  </si>
  <si>
    <t>3D true FISP with ECG gating and respiratory navigation</t>
  </si>
  <si>
    <t>Time resolved MR Angiography with contrast</t>
  </si>
  <si>
    <t>Cardiac Phase</t>
  </si>
  <si>
    <t>Diastolic</t>
  </si>
  <si>
    <t>Systolic</t>
  </si>
  <si>
    <t>Ungated</t>
  </si>
  <si>
    <t>Geometry</t>
  </si>
  <si>
    <t>Cusps equilateral triangle</t>
  </si>
  <si>
    <t>Cusps maximum dimension</t>
  </si>
  <si>
    <t>Commissures to cusps</t>
  </si>
  <si>
    <t>HR (bpm):</t>
  </si>
  <si>
    <t>BSA (m^2):</t>
  </si>
  <si>
    <t>Weight (kg):</t>
  </si>
  <si>
    <t>Height (cm):</t>
  </si>
  <si>
    <t>IV Size:</t>
  </si>
  <si>
    <t>IV Site:</t>
  </si>
  <si>
    <t>Contrast Volume (ml):</t>
  </si>
  <si>
    <t>Contrast type</t>
  </si>
  <si>
    <t>Optiray 320</t>
  </si>
  <si>
    <t>Omnipaque 350</t>
  </si>
  <si>
    <t>gauge</t>
  </si>
  <si>
    <t>Patient Name:</t>
  </si>
  <si>
    <t>MRN:</t>
  </si>
  <si>
    <t>Exam Date:</t>
  </si>
  <si>
    <t>Technologist:</t>
  </si>
  <si>
    <t>Radiologist:</t>
  </si>
  <si>
    <t>Referring Physician:</t>
  </si>
  <si>
    <t>SR</t>
  </si>
  <si>
    <t>SEPARATE</t>
  </si>
  <si>
    <t>Modality</t>
  </si>
  <si>
    <t>Manufacturer</t>
  </si>
  <si>
    <t>CONTAINS</t>
  </si>
  <si>
    <t>DCM</t>
  </si>
  <si>
    <t>Comprehensive SR</t>
  </si>
  <si>
    <t>1.2.840.10008.5.1.4.1.1.88.33</t>
  </si>
  <si>
    <t>ComprehensiveSRStorage</t>
  </si>
  <si>
    <t>Excel</t>
  </si>
  <si>
    <t>UCUM</t>
  </si>
  <si>
    <t>CT Technologist</t>
  </si>
  <si>
    <t>Report</t>
  </si>
  <si>
    <t>Type</t>
  </si>
  <si>
    <t>SOP Class UID</t>
  </si>
  <si>
    <t>SOP Value</t>
  </si>
  <si>
    <t>Device</t>
  </si>
  <si>
    <t>Model</t>
  </si>
  <si>
    <t>Serial</t>
  </si>
  <si>
    <t>Version</t>
  </si>
  <si>
    <t>Patient</t>
  </si>
  <si>
    <t>ID</t>
  </si>
  <si>
    <t>Study</t>
  </si>
  <si>
    <t>Date</t>
  </si>
  <si>
    <t>Time</t>
  </si>
  <si>
    <t>Accession</t>
  </si>
  <si>
    <t>Description</t>
  </si>
  <si>
    <t>Series</t>
  </si>
  <si>
    <t>Number</t>
  </si>
  <si>
    <t>Instance</t>
  </si>
  <si>
    <t>Document</t>
  </si>
  <si>
    <t>Content</t>
  </si>
  <si>
    <t>Container</t>
  </si>
  <si>
    <t>Flag</t>
  </si>
  <si>
    <t>Concept</t>
  </si>
  <si>
    <t>Value</t>
  </si>
  <si>
    <t>Designator</t>
  </si>
  <si>
    <t>Meaning</t>
  </si>
  <si>
    <t>Relationship</t>
  </si>
  <si>
    <t>Accession:</t>
  </si>
  <si>
    <t>CT Measurements SR</t>
  </si>
  <si>
    <t>Num Table</t>
  </si>
  <si>
    <t>ns1:relationship</t>
  </si>
  <si>
    <t>ns1:value</t>
  </si>
  <si>
    <t>ns1:designator</t>
  </si>
  <si>
    <t>ns1:meaning</t>
  </si>
  <si>
    <t>ns1:version</t>
  </si>
  <si>
    <t>ns1:value2</t>
  </si>
  <si>
    <t>ns1:value3</t>
  </si>
  <si>
    <t>ns1:designator4</t>
  </si>
  <si>
    <t>ns1:meaning5</t>
  </si>
  <si>
    <t>PAT_HEIGHT</t>
  </si>
  <si>
    <t>PAT_WEIGHT</t>
  </si>
  <si>
    <t>PAT1</t>
  </si>
  <si>
    <t>PAT2</t>
  </si>
  <si>
    <t>cm</t>
  </si>
  <si>
    <t>kg</t>
  </si>
  <si>
    <t>IV_SITE</t>
  </si>
  <si>
    <t>Text Table</t>
  </si>
  <si>
    <t>IV_SIZE</t>
  </si>
  <si>
    <t>BSA1</t>
  </si>
  <si>
    <t>m2</t>
  </si>
  <si>
    <t>HR</t>
  </si>
  <si>
    <t>HR1</t>
  </si>
  <si>
    <t>HEART_RATE</t>
  </si>
  <si>
    <t>bpm</t>
  </si>
  <si>
    <t>CONTRAST</t>
  </si>
  <si>
    <t>CONT1</t>
  </si>
  <si>
    <t>CONTRAST_VOL</t>
  </si>
  <si>
    <t>ml</t>
  </si>
  <si>
    <t>CONTRAST_MED</t>
  </si>
  <si>
    <t>RADIOLOGIST</t>
  </si>
  <si>
    <t>Input</t>
  </si>
  <si>
    <t>Calculated</t>
  </si>
  <si>
    <t>Reference</t>
  </si>
  <si>
    <t>Aorta</t>
  </si>
  <si>
    <t>Pulmonary</t>
  </si>
  <si>
    <t>(Haycock formula)</t>
  </si>
  <si>
    <t>Valid range: 0.16 to 2.8</t>
  </si>
  <si>
    <t>Age range 0-18</t>
  </si>
  <si>
    <t>Diam (mm)</t>
  </si>
  <si>
    <t>Predicted Mean</t>
  </si>
  <si>
    <t>Predicted SD</t>
  </si>
  <si>
    <t>Z - score</t>
  </si>
  <si>
    <t>AE</t>
  </si>
  <si>
    <t>Mean</t>
  </si>
  <si>
    <t>SD</t>
  </si>
  <si>
    <t>MPA max</t>
  </si>
  <si>
    <t>MPA min</t>
  </si>
  <si>
    <t>LPA max</t>
  </si>
  <si>
    <t>LPA min</t>
  </si>
  <si>
    <t>RPA max</t>
  </si>
  <si>
    <t>RPA min</t>
  </si>
  <si>
    <t>Z-scores are reported if BSA &gt;2.8, but note that the reference only regressed on patients up to BSA=2.8,</t>
  </si>
  <si>
    <t>(and the predictive relationship is generally less reliable above BSA=2.0, based on the figures in the reference)</t>
  </si>
  <si>
    <t>Reference:</t>
  </si>
  <si>
    <t>Donthula R, Li W, Kaur H, Adebo DA, Uppu SC. 
Normative computed tomography angiography values of the main and branch pulmonary arteries in children. 
Eur J Pediatr. 2024 Mar;183(3):1183-1193. doi: 10.1007/s00431-023-05363-9. Epub 2023 Dec 11. Erratum in: Eur J Pediatr. 2024 Mar;183(3):1195-1197. doi: 10.1007/s00431-024-05454-1. PMID: 38078969.
doi: 10.1007/s00431-023-05363-9. Epub 2023 Dec 11.
Erratum in: Eur J Pediatr. 2024 Mar;183(3):1195-1197. doi: 10.1007/s00431-024-05454-1. PMID: 38078969.</t>
  </si>
  <si>
    <t>Color Key</t>
  </si>
  <si>
    <t>CTA Cardiac Measurements</t>
  </si>
  <si>
    <t>SYSMPAMAX1</t>
  </si>
  <si>
    <t>SYSMPAMIN1</t>
  </si>
  <si>
    <t>SYSLPAMAX1</t>
  </si>
  <si>
    <t>SYSLPAMIN1</t>
  </si>
  <si>
    <t>SYSRPAMAX1</t>
  </si>
  <si>
    <t>SYSRPAMIN1</t>
  </si>
  <si>
    <t>DIAMPAMAX1</t>
  </si>
  <si>
    <t>DIAMPAMIN1</t>
  </si>
  <si>
    <t>DIALPAMAX1</t>
  </si>
  <si>
    <t>DIALPAMIN1</t>
  </si>
  <si>
    <t>DIARPAMAX1</t>
  </si>
  <si>
    <t>DIARPAMIN1</t>
  </si>
  <si>
    <t>SYSMPAMAX1PM</t>
  </si>
  <si>
    <t>SYSMPAMIN1PM</t>
  </si>
  <si>
    <t>SYSLPAMAX1PM</t>
  </si>
  <si>
    <t>SYSLPAMIN1PM</t>
  </si>
  <si>
    <t>SYSRPAMAX1PM</t>
  </si>
  <si>
    <t>SYSRPAMIN1PM</t>
  </si>
  <si>
    <t>DIAMPAMAX1PM</t>
  </si>
  <si>
    <t>DIAMPAMIN1PM</t>
  </si>
  <si>
    <t>DIALPAMAX1PM</t>
  </si>
  <si>
    <t>DIALPAMIN1PM</t>
  </si>
  <si>
    <t>DIARPAMAX1PM</t>
  </si>
  <si>
    <t>DIARPAMIN1PM</t>
  </si>
  <si>
    <t>SYSMPAMAX1PSD</t>
  </si>
  <si>
    <t>SYSMPAMIN1PSD</t>
  </si>
  <si>
    <t>SYSLPAMAX1PSD</t>
  </si>
  <si>
    <t>SYSLPAMIN1PSD</t>
  </si>
  <si>
    <t>SYSRPAMAX1PSD</t>
  </si>
  <si>
    <t>SYSRPAMIN1PSD</t>
  </si>
  <si>
    <t>DIAMPAMAX1PSD</t>
  </si>
  <si>
    <t>DIAMPAMIN1PSD</t>
  </si>
  <si>
    <t>DIALPAMAX1PSD</t>
  </si>
  <si>
    <t>DIALPAMIN1PSD</t>
  </si>
  <si>
    <t>DIARPAMAX1PSD</t>
  </si>
  <si>
    <t>DIARPAMIN1PSD</t>
  </si>
  <si>
    <t>SYSMPAMAX1Z</t>
  </si>
  <si>
    <t>SYSMPAMIN1Z</t>
  </si>
  <si>
    <t>SYSLPAMAX1Z</t>
  </si>
  <si>
    <t>SYSLPAMIN1Z</t>
  </si>
  <si>
    <t>SYSRPAMAX1Z</t>
  </si>
  <si>
    <t>SYSRPAMIN1Z</t>
  </si>
  <si>
    <t>DIAMPAMAX1Z</t>
  </si>
  <si>
    <t>DIAMPAMIN1Z</t>
  </si>
  <si>
    <t>DIALPAMAX1Z</t>
  </si>
  <si>
    <t>DIALPAMIN1Z</t>
  </si>
  <si>
    <t>DIARPAMAX1Z</t>
  </si>
  <si>
    <t>DIARPAMIN1Z</t>
  </si>
  <si>
    <t>SYSMPAMAX2</t>
  </si>
  <si>
    <t>SYSMPAMIN2</t>
  </si>
  <si>
    <t>SYSLPAMAX2</t>
  </si>
  <si>
    <t>SYSLPAMIN2</t>
  </si>
  <si>
    <t>SYSRPAMAX2</t>
  </si>
  <si>
    <t>SYSRPAMIN2</t>
  </si>
  <si>
    <t>DIAMPAMAX2</t>
  </si>
  <si>
    <t>DIAMPAMIN2</t>
  </si>
  <si>
    <t>DIALPAMAX2</t>
  </si>
  <si>
    <t>DIALPAMIN2</t>
  </si>
  <si>
    <t>DIARPAMAX2</t>
  </si>
  <si>
    <t>DIARPAMIN2</t>
  </si>
  <si>
    <t>SYSMPAMAX2PM</t>
  </si>
  <si>
    <t>SYSMPAMIN2PM</t>
  </si>
  <si>
    <t>SYSLPAMAX2PM</t>
  </si>
  <si>
    <t>SYSLPAMIN2PM</t>
  </si>
  <si>
    <t>SYSRPAMAX2PM</t>
  </si>
  <si>
    <t>SYSRPAMIN2PM</t>
  </si>
  <si>
    <t>DIAMPAMAX2PM</t>
  </si>
  <si>
    <t>DIAMPAMIN2PM</t>
  </si>
  <si>
    <t>DIALPAMAX2PM</t>
  </si>
  <si>
    <t>DIALPAMIN2PM</t>
  </si>
  <si>
    <t>DIARPAMAX2PM</t>
  </si>
  <si>
    <t>DIARPAMIN2PM</t>
  </si>
  <si>
    <t>SYSMPAMAX2PSD</t>
  </si>
  <si>
    <t>SYSMPAMIN2PSD</t>
  </si>
  <si>
    <t>SYSLPAMAX2PSD</t>
  </si>
  <si>
    <t>SYSLPAMIN2PSD</t>
  </si>
  <si>
    <t>SYSRPAMAX2PSD</t>
  </si>
  <si>
    <t>SYSRPAMIN2PSD</t>
  </si>
  <si>
    <t>DIAMPAMAX2PSD</t>
  </si>
  <si>
    <t>DIAMPAMIN2PSD</t>
  </si>
  <si>
    <t>DIALPAMAX2PSD</t>
  </si>
  <si>
    <t>DIALPAMIN2PSD</t>
  </si>
  <si>
    <t>DIARPAMAX2PSD</t>
  </si>
  <si>
    <t>DIARPAMIN2PSD</t>
  </si>
  <si>
    <t>SYSMPAMAX2Z</t>
  </si>
  <si>
    <t>SYSMPAMIN2Z</t>
  </si>
  <si>
    <t>SYSLPAMAX2Z</t>
  </si>
  <si>
    <t>SYSLPAMIN2Z</t>
  </si>
  <si>
    <t>SYSRPAMAX2Z</t>
  </si>
  <si>
    <t>SYSRPAMIN2Z</t>
  </si>
  <si>
    <t>DIAMPAMAX2Z</t>
  </si>
  <si>
    <t>DIAMPAMIN2Z</t>
  </si>
  <si>
    <t>DIALPAMAX2Z</t>
  </si>
  <si>
    <t>DIALPAMIN2Z</t>
  </si>
  <si>
    <t>DIARPAMAX2Z</t>
  </si>
  <si>
    <t>DIARPAMIN2Z</t>
  </si>
  <si>
    <t>BSA2</t>
  </si>
  <si>
    <t xml:space="preserve">Z-scores are 0.00 if diameter is blank or if BSA is &lt;0.16 m^2.  </t>
  </si>
  <si>
    <t>Aortic Pulmonary</t>
  </si>
  <si>
    <t>Sinotubular Junction max</t>
  </si>
  <si>
    <t>Sinotubular Junction min</t>
  </si>
  <si>
    <t>Ascending Aorta max</t>
  </si>
  <si>
    <t>Ascending Aorta min</t>
  </si>
  <si>
    <t>Isthmus max</t>
  </si>
  <si>
    <t>Isthmus min</t>
  </si>
  <si>
    <t>Diaphragmatic Aorta max</t>
  </si>
  <si>
    <t>Diaphragmatic Aorta min</t>
  </si>
  <si>
    <t>Prox T1 Arch min</t>
  </si>
  <si>
    <t>Distal T2 Arch max</t>
  </si>
  <si>
    <t>Distal T2 Arch min</t>
  </si>
  <si>
    <t>Donthula R, Li W, Duvvada A, Dyar D, Uppu SC. 
Normative computed tomography angiography values of the aortic root, aorta, and aortic arch in children. 
Eur J Pediatr. 2024 Dec;183(12):5425-5439. doi: 10.1007/s00431-024-05818-7. Epub 2024 Oct 17. PMID: 39417839.
Erratum in: Eur J Pediatr. 2024 Nov 15;184(1):16. doi: 10.1007/s00431-024-05873-0. PMID: 39417839.</t>
  </si>
  <si>
    <t>Aortic Sinus A</t>
  </si>
  <si>
    <t>Aortic Sinus B</t>
  </si>
  <si>
    <t>Aortic Sinus C</t>
  </si>
  <si>
    <t>STJ1_SYS</t>
  </si>
  <si>
    <t>STJ2_SYS</t>
  </si>
  <si>
    <t>SINUS_A_SYS</t>
  </si>
  <si>
    <t>SINUS_B_SYS</t>
  </si>
  <si>
    <t>SINUS_C_SYS</t>
  </si>
  <si>
    <t>ASC1_SYS</t>
  </si>
  <si>
    <t>ASC2_SYS</t>
  </si>
  <si>
    <t>PTA1_SYS</t>
  </si>
  <si>
    <t>DTA1_SYS</t>
  </si>
  <si>
    <t>DTA2_SYS</t>
  </si>
  <si>
    <t>IS1_SYS</t>
  </si>
  <si>
    <t>IS2_SYS</t>
  </si>
  <si>
    <t>DAO1_SYS</t>
  </si>
  <si>
    <t>DAO2_SYS</t>
  </si>
  <si>
    <t>SINUS_A_DIA</t>
  </si>
  <si>
    <t>SINUS_B_DIA</t>
  </si>
  <si>
    <t>SINUS_C_DIA</t>
  </si>
  <si>
    <t>STJ1_DIA</t>
  </si>
  <si>
    <t>STJ2_DIA</t>
  </si>
  <si>
    <t>ASC1_DIA</t>
  </si>
  <si>
    <t>ASC2_DIA</t>
  </si>
  <si>
    <t>PTA1_DIA</t>
  </si>
  <si>
    <t>DTA1_DIA</t>
  </si>
  <si>
    <t>DTA2_DIA</t>
  </si>
  <si>
    <t>IS1_DIA</t>
  </si>
  <si>
    <t>IS2_DIA</t>
  </si>
  <si>
    <t>DAO1_DIA</t>
  </si>
  <si>
    <t>DAO2_DIA</t>
  </si>
  <si>
    <t>Indexed Value</t>
  </si>
  <si>
    <t>SINUS_A_SYS_Z</t>
  </si>
  <si>
    <t>SINUS_B_SYS_Z</t>
  </si>
  <si>
    <t>SINUS_C_SYS_Z</t>
  </si>
  <si>
    <t>STJ1_SYS_Z</t>
  </si>
  <si>
    <t>STJ2_SYS_Z</t>
  </si>
  <si>
    <t>ASC1_SYS_Z</t>
  </si>
  <si>
    <t>ASC2_SYS_Z</t>
  </si>
  <si>
    <t>PTA1_SYS_Z</t>
  </si>
  <si>
    <t>DTA1_SYS_Z</t>
  </si>
  <si>
    <t>DTA2_SYS_Z</t>
  </si>
  <si>
    <t>IS1_SYS_Z</t>
  </si>
  <si>
    <t>IS2_SYS_Z</t>
  </si>
  <si>
    <t>DAO1_SYS_Z</t>
  </si>
  <si>
    <t>DAO2_SYS_Z</t>
  </si>
  <si>
    <t>SINUS_A_DIA_Z</t>
  </si>
  <si>
    <t>SINUS_B_DIA_Z</t>
  </si>
  <si>
    <t>SINUS_C_DIA_Z</t>
  </si>
  <si>
    <t>STJ1_DIA_Z</t>
  </si>
  <si>
    <t>STJ2_DIA_Z</t>
  </si>
  <si>
    <t>ASC1_DIA_Z</t>
  </si>
  <si>
    <t>ASC2_DIA_Z</t>
  </si>
  <si>
    <t>PTA1_DIA_Z</t>
  </si>
  <si>
    <t>DTA1_DIA_Z</t>
  </si>
  <si>
    <t>DTA2_DIA_Z</t>
  </si>
  <si>
    <t>IS1_DIA_Z</t>
  </si>
  <si>
    <t>IS2_DIA_Z</t>
  </si>
  <si>
    <t>DAO1_DIA_Z</t>
  </si>
  <si>
    <t>DAO2_DIA_Z</t>
  </si>
  <si>
    <t>CT CARDIAC V2</t>
  </si>
  <si>
    <t>Prox T1 Arch max</t>
  </si>
  <si>
    <t>PTA2_SYS_Z</t>
  </si>
  <si>
    <t>PTA2_SYS</t>
  </si>
  <si>
    <t>PTA2_DIA</t>
  </si>
  <si>
    <t>PTA2_DIA_Z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</si>
</sst>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yyyymmdd"/>
    <numFmt numFmtId="166" formatCode="h:mm;@"/>
    <numFmt numFmtId="167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12121"/>
      <name val="Segoe UI"/>
      <family val="2"/>
    </font>
    <font>
      <b/>
      <sz val="2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0" fillId="0" borderId="0" xfId="0" applyFill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/>
    <xf numFmtId="0" fontId="0" fillId="0" borderId="0" xfId="0" applyAlignment="1">
      <alignment horizontal="left" wrapText="1"/>
    </xf>
    <xf numFmtId="0" fontId="0" fillId="3" borderId="0" xfId="0" applyFill="1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14" fontId="0" fillId="0" borderId="0" xfId="0" applyNumberFormat="1" applyFill="1"/>
    <xf numFmtId="49" fontId="1" fillId="0" borderId="0" xfId="0" applyNumberFormat="1" applyFont="1"/>
    <xf numFmtId="0" fontId="0" fillId="0" borderId="0" xfId="0" applyFont="1"/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/>
    <xf numFmtId="0" fontId="0" fillId="3" borderId="0" xfId="0" applyFill="1" applyAlignment="1" applyProtection="1">
      <alignment horizontal="center"/>
      <protection locked="0"/>
    </xf>
    <xf numFmtId="0" fontId="3" fillId="0" borderId="0" xfId="0" applyFont="1"/>
    <xf numFmtId="164" fontId="0" fillId="4" borderId="0" xfId="0" applyNumberFormat="1" applyFill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0" xfId="0" applyFill="1" applyBorder="1" applyAlignment="1" applyProtection="1">
      <alignment horizontal="center"/>
      <protection locked="0"/>
    </xf>
    <xf numFmtId="0" fontId="0" fillId="0" borderId="10" xfId="0" applyBorder="1" applyAlignment="1">
      <alignment horizontal="center"/>
    </xf>
    <xf numFmtId="0" fontId="0" fillId="0" borderId="0" xfId="0" applyBorder="1"/>
    <xf numFmtId="0" fontId="0" fillId="0" borderId="13" xfId="0" applyBorder="1"/>
    <xf numFmtId="2" fontId="0" fillId="0" borderId="0" xfId="0" applyNumberFormat="1" applyBorder="1"/>
    <xf numFmtId="0" fontId="2" fillId="0" borderId="0" xfId="0" applyFont="1" applyBorder="1"/>
    <xf numFmtId="164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5" xfId="0" applyBorder="1" applyAlignment="1">
      <alignment horizontal="right" indent="1"/>
    </xf>
    <xf numFmtId="0" fontId="0" fillId="0" borderId="9" xfId="0" applyBorder="1" applyAlignment="1">
      <alignment horizontal="right" indent="1"/>
    </xf>
    <xf numFmtId="0" fontId="0" fillId="0" borderId="10" xfId="0" applyBorder="1" applyAlignment="1">
      <alignment horizontal="right" indent="1"/>
    </xf>
    <xf numFmtId="0" fontId="2" fillId="3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1" xfId="0" applyFont="1" applyBorder="1"/>
    <xf numFmtId="2" fontId="0" fillId="4" borderId="12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49" fontId="0" fillId="3" borderId="0" xfId="0" applyNumberFormat="1" applyFont="1" applyFill="1" applyBorder="1" applyAlignment="1">
      <alignment horizontal="left"/>
    </xf>
    <xf numFmtId="14" fontId="0" fillId="3" borderId="0" xfId="0" applyNumberFormat="1" applyFill="1" applyAlignment="1">
      <alignment horizontal="left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4" xfId="0" applyFont="1" applyBorder="1"/>
    <xf numFmtId="0" fontId="0" fillId="0" borderId="1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Font="1" applyFill="1" applyAlignment="1">
      <alignment horizontal="right" indent="1"/>
    </xf>
    <xf numFmtId="2" fontId="0" fillId="0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4" xfId="0" applyNumberFormat="1" applyFill="1" applyBorder="1" applyAlignment="1">
      <alignment horizontal="center"/>
    </xf>
    <xf numFmtId="2" fontId="0" fillId="5" borderId="5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0" fontId="0" fillId="2" borderId="0" xfId="0" applyFill="1" applyAlignment="1" applyProtection="1">
      <alignment horizontal="center"/>
    </xf>
    <xf numFmtId="167" fontId="0" fillId="2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0" xfId="0" applyNumberFormat="1" applyFont="1" applyFill="1" applyBorder="1" applyAlignment="1">
      <alignment horizontal="left"/>
    </xf>
    <xf numFmtId="0" fontId="0" fillId="3" borderId="0" xfId="0" applyFill="1" applyAlignment="1">
      <alignment horizontal="center"/>
    </xf>
    <xf numFmtId="0" fontId="1" fillId="6" borderId="0" xfId="0" applyFont="1" applyFill="1" applyAlignment="1">
      <alignment horizontal="center"/>
    </xf>
  </cellXfs>
  <cellStyles count="1">
    <cellStyle name="Normal" xfId="0" builtinId="0"/>
  </cellStyles>
  <dxfs count="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dicom.offis.de/dcmsr'">
  <Schema ID="Schema5" Namespace="http://dicom.offis.de/dcmsr">
    <xsd:schema xmlns:xsd="http://www.w3.org/2001/XMLSchema" xmlns:ns0="http://dicom.offis.de/dcmsr" xmlns="" targetNamespace="http://dicom.offis.de/dcmsr">
      <xsd:element nillable="true" name="report">
        <xsd:complexType>
          <xsd:sequence minOccurs="0">
            <xsd:element minOccurs="0" nillable="true" name="sopclass" form="qualified">
              <xsd:complexType>
                <xsd:simpleContent>
                  <xsd:extension base="xsd:string">
                    <xsd:attribute name="uid" form="unqualified" type="xsd:string"/>
                  </xsd:extension>
                </xsd:simpleContent>
              </xsd:complexType>
            </xsd:element>
            <xsd:element minOccurs="0" nillable="true" type="xsd:string" name="modality" form="qualified"/>
            <xsd:element minOccurs="0" nillable="true" name="device" form="qualified">
              <xsd:complexType>
                <xsd:sequence minOccurs="0">
                  <xsd:element minOccurs="0" nillable="true" type="xsd:string" name="manufacturer" form="qualified"/>
                  <xsd:element minOccurs="0" nillable="true" type="xsd:string" name="model" form="qualified"/>
                  <xsd:element minOccurs="0" nillable="true" type="xsd:integer" name="serial" form="qualified"/>
                  <xsd:element minOccurs="0" nillable="true" type="xsd:string" name="version" form="qualified"/>
                </xsd:sequence>
              </xsd:complexType>
            </xsd:element>
            <xsd:element minOccurs="0" nillable="true" name="patient" form="qualified">
              <xsd:complexType>
                <xsd:sequence minOccurs="0">
                  <xsd:element minOccurs="0" nillable="true" type="xsd:integer" name="id" form="qualified"/>
                </xsd:sequence>
              </xsd:complexType>
            </xsd:element>
            <xsd:element minOccurs="0" nillable="true" name="study" form="qualified">
              <xsd:complexType>
                <xsd:sequence minOccurs="0">
                  <xsd:element minOccurs="0" nillable="true" type="xsd:integer" name="id" form="qualified"/>
                  <xsd:element minOccurs="0" nillable="true" type="xsd:date" name="date" form="qualified"/>
                  <xsd:element minOccurs="0" nillable="true" type="xsd:time" name="time" form="qualified"/>
                  <xsd:element minOccurs="0" nillable="true" name="accession" form="qualified">
                    <xsd:complexType>
                      <xsd:sequence minOccurs="0">
                        <xsd:element minOccurs="0" nillable="true" type="xsd:string" name="number" form="qualified"/>
                      </xsd:sequence>
                    </xsd:complexType>
                  </xsd:element>
                  <xsd:element minOccurs="0" nillable="true" type="xsd:string" name="description" form="qualified"/>
                </xsd:sequence>
              </xsd:complexType>
            </xsd:element>
            <xsd:element minOccurs="0" nillable="true" name="series" form="qualified">
              <xsd:complexType>
                <xsd:sequence minOccurs="0">
                  <xsd:element minOccurs="0" nillable="true" type="xsd:integer" name="number" form="qualified"/>
                  <xsd:element minOccurs="0" nillable="true" type="xsd:date" name="date" form="qualified"/>
                  <xsd:element minOccurs="0" nillable="true" type="xsd:time" name="time" form="qualified"/>
                  <xsd:element minOccurs="0" nillable="true" type="xsd:string" name="protocol" form="qualified"/>
                  <xsd:element minOccurs="0" nillable="true" type="xsd:string" name="description" form="qualified"/>
                </xsd:sequence>
              </xsd:complexType>
            </xsd:element>
            <xsd:element minOccurs="0" nillable="true" name="instance" form="qualified">
              <xsd:complexType>
                <xsd:sequence minOccurs="0">
                  <xsd:element minOccurs="0" nillable="true" type="xsd:integer" name="number" form="qualified"/>
                </xsd:sequence>
              </xsd:complexType>
            </xsd:element>
            <xsd:element minOccurs="0" nillable="true" name="document" form="qualified">
              <xsd:complexType>
                <xsd:sequence minOccurs="0">
                  <xsd:element minOccurs="0" nillable="true" name="content" form="qualified">
                    <xsd:complexType>
                      <xsd:sequence minOccurs="0">
                        <xsd:element minOccurs="0" nillable="true" name="container" form="qualified">
                          <xsd:complexType>
                            <xsd:sequence minOccurs="0">
                              <xsd:element minOccurs="0" nillable="true" name="concept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  <xsd:element minOccurs="0" nillable="true" name="scheme" form="qualified">
                                      <xsd:complexType>
                                        <xsd:sequence minOccurs="0">
                                          <xsd:element minOccurs="0" nillable="true" type="xsd:string" name="designator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meaning" form="qualified"/>
                                  </xsd:sequence>
                                </xsd:complexType>
                              </xsd:element>
                              <xsd:element minOccurs="0" nillable="true" name="container" form="qualified">
                                <xsd:complexType>
                                  <xsd:sequence minOccurs="0">
                                    <xsd:element minOccurs="0" nillable="true" type="xsd:string" name="relationship" form="qualified"/>
                                    <xsd:element minOccurs="0" nillable="true" name="concept" form="qualified">
                                      <xsd:complexType>
                                        <xsd:sequence minOccurs="0">
                                          <xsd:element minOccurs="0" nillable="true" type="xsd:string" name="value" form="qualified"/>
                                          <xsd:element minOccurs="0" nillable="true" name="scheme" form="qualified">
                                            <xsd:complexType>
                                              <xsd:sequence minOccurs="0">
                                                <xsd:element minOccurs="0" nillable="true" type="xsd:string" name="designator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meaning" form="qualified"/>
                                        </xsd:sequence>
                                      </xsd:complexType>
                                    </xsd:element>
                                    <xsd:element minOccurs="0" maxOccurs="unbounded" nillable="true" name="num" form="qualified">
                                      <xsd:complexType>
                                        <xsd:sequence minOccurs="0">
                                          <xsd:element minOccurs="0" nillable="true" type="xsd:string" name="relationship" form="qualified"/>
                                          <xsd:element minOccurs="0" nillable="true" name="concept" form="qualified">
                                            <xsd:complexType>
                                              <xsd:sequence minOccurs="0">
                                                <xsd:element minOccurs="0" nillable="true" type="xsd:string" name="value" form="qualified"/>
                                                <xsd:element minOccurs="0" nillable="true" name="scheme" form="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designator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meaning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ouble" name="value" form="qualified"/>
                                          <xsd:element minOccurs="0" nillable="true" name="unit" form="qualified">
                                            <xsd:complexType>
                                              <xsd:sequence minOccurs="0">
                                                <xsd:element minOccurs="0" nillable="true" type="xsd:string" name="value" form="qualified"/>
                                                <xsd:element minOccurs="0" nillable="true" name="scheme" form="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designator" form="qualified"/>
                                                      <xsd:element minOccurs="0" nillable="true" type="xsd:double" name="version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meaning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maxOccurs="unbounded" nillable="true" name="text" form="qualified">
                                      <xsd:complexType>
                                        <xsd:sequence minOccurs="0">
                                          <xsd:element minOccurs="0" nillable="true" type="xsd:string" name="relationship" form="qualified"/>
                                          <xsd:element minOccurs="0" nillable="true" name="concept" form="qualified">
                                            <xsd:complexType>
                                              <xsd:sequence minOccurs="0">
                                                <xsd:element minOccurs="0" nillable="true" type="xsd:string" name="value" form="qualified"/>
                                                <xsd:element minOccurs="0" nillable="true" name="scheme" form="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designator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meaning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ouble" name="value" form="qualified"/>
                                          <xsd:element minOccurs="0" nillable="true" name="unit" form="qualified">
                                            <xsd:complexType>
                                              <xsd:sequence minOccurs="0">
                                                <xsd:element minOccurs="0" nillable="true" type="xsd:string" name="value" form="qualified"/>
                                                <xsd:element minOccurs="0" nillable="true" name="scheme" form="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designator" form="qualified"/>
                                                      <xsd:element minOccurs="0" nillable="true" type="xsd:double" name="version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meaning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flag" form="unqualified" type="xsd:string"/>
                                </xsd:complexType>
                              </xsd:element>
                            </xsd:sequence>
                            <xsd:attribute name="flag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name="type" form="unqualified" type="xsd:string"/>
        </xsd:complexType>
      </xsd:element>
    </xsd:schema>
  </Schema>
  <Map ID="22" Name="report_Map" RootElement="report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74</xdr:row>
          <xdr:rowOff>95250</xdr:rowOff>
        </xdr:from>
        <xdr:to>
          <xdr:col>15</xdr:col>
          <xdr:colOff>419100</xdr:colOff>
          <xdr:row>78</xdr:row>
          <xdr:rowOff>723900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&amp; Send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647FA0FF-D9D9-4CBB-B3BC-54E5A86405FD}" name="Table95" displayName="Table95" ref="F4:N10" tableType="xml" totalsRowShown="0" connectionId="5">
  <autoFilter ref="F4:N10" xr:uid="{647FA0FF-D9D9-4CBB-B3BC-54E5A86405FD}"/>
  <tableColumns count="9">
    <tableColumn id="1" xr3:uid="{129DF7DC-BBE5-4802-B4F3-EB2D1975DD9E}" uniqueName="ns1:relationship" name="ns1:relationship">
      <xmlColumnPr mapId="22" xpath="/ns1:report/ns1:document/ns1:content/ns1:container/ns1:container/ns1:num/ns1:relationship" xmlDataType="string"/>
    </tableColumn>
    <tableColumn id="2" xr3:uid="{89C38A4F-E1ED-4416-A090-4808A55E910E}" uniqueName="ns1:value" name="ns1:value">
      <xmlColumnPr mapId="22" xpath="/ns1:report/ns1:document/ns1:content/ns1:container/ns1:container/ns1:num/ns1:concept/ns1:value" xmlDataType="string"/>
    </tableColumn>
    <tableColumn id="3" xr3:uid="{D32368BA-C6C4-406B-A975-51AA70A35A84}" uniqueName="ns1:designator" name="ns1:designator">
      <xmlColumnPr mapId="22" xpath="/ns1:report/ns1:document/ns1:content/ns1:container/ns1:container/ns1:num/ns1:concept/ns1:scheme/ns1:designator" xmlDataType="string"/>
    </tableColumn>
    <tableColumn id="4" xr3:uid="{F6535E6F-5034-4638-B557-B36F89C45542}" uniqueName="ns1:meaning" name="ns1:meaning">
      <xmlColumnPr mapId="22" xpath="/ns1:report/ns1:document/ns1:content/ns1:container/ns1:container/ns1:num/ns1:concept/ns1:meaning" xmlDataType="string"/>
    </tableColumn>
    <tableColumn id="5" xr3:uid="{A0CEA724-E51E-48BB-A852-90A65219310A}" uniqueName="ns1:value" name="ns1:value2" dataDxfId="8">
      <calculatedColumnFormula>'Z Value Calculator'!B9</calculatedColumnFormula>
      <xmlColumnPr mapId="22" xpath="/ns1:report/ns1:document/ns1:content/ns1:container/ns1:container/ns1:num/ns1:value" xmlDataType="double"/>
    </tableColumn>
    <tableColumn id="6" xr3:uid="{48C3D7BC-5C93-416E-B90E-676971C2590A}" uniqueName="ns1:value" name="ns1:value3">
      <xmlColumnPr mapId="22" xpath="/ns1:report/ns1:document/ns1:content/ns1:container/ns1:container/ns1:num/ns1:unit/ns1:value" xmlDataType="string"/>
    </tableColumn>
    <tableColumn id="7" xr3:uid="{FE832423-08D5-4553-9ECB-CAA48E1CEDDE}" uniqueName="ns1:designator" name="ns1:designator4">
      <xmlColumnPr mapId="22" xpath="/ns1:report/ns1:document/ns1:content/ns1:container/ns1:container/ns1:num/ns1:unit/ns1:scheme/ns1:designator" xmlDataType="string"/>
    </tableColumn>
    <tableColumn id="8" xr3:uid="{A94B37AF-232B-42FF-9D5C-DB6C14821086}" uniqueName="ns1:version" name="ns1:version">
      <xmlColumnPr mapId="22" xpath="/ns1:report/ns1:document/ns1:content/ns1:container/ns1:container/ns1:num/ns1:unit/ns1:scheme/ns1:version" xmlDataType="double"/>
    </tableColumn>
    <tableColumn id="9" xr3:uid="{25C77474-962C-4396-9C54-3FBFC60A4A4A}" uniqueName="ns1:meaning" name="ns1:meaning5">
      <xmlColumnPr mapId="22" xpath="/ns1:report/ns1:document/ns1:content/ns1:container/ns1:container/ns1:num/ns1:unit/ns1:meaning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ACDE5014-0865-407F-A4D3-E518F8C3A7F5}" name="Table132" displayName="Table132" ref="F17:N177" tableType="xml" totalsRowShown="0" headerRowDxfId="7" connectionId="5">
  <autoFilter ref="F17:N177" xr:uid="{ACDE5014-0865-407F-A4D3-E518F8C3A7F5}"/>
  <tableColumns count="9">
    <tableColumn id="1" xr3:uid="{761F3432-6269-4050-89DD-F9063AD0053D}" uniqueName="ns1:relationship" name="ns1:relationship" dataDxfId="6">
      <xmlColumnPr mapId="22" xpath="/ns1:report/ns1:document/ns1:content/ns1:container/ns1:container/ns1:text/ns1:relationship" xmlDataType="string"/>
    </tableColumn>
    <tableColumn id="2" xr3:uid="{65C66C18-F555-405B-AECB-EADC41C1789E}" uniqueName="ns1:value" name="ns1:value" dataDxfId="5">
      <xmlColumnPr mapId="22" xpath="/ns1:report/ns1:document/ns1:content/ns1:container/ns1:container/ns1:text/ns1:concept/ns1:value" xmlDataType="string"/>
    </tableColumn>
    <tableColumn id="3" xr3:uid="{F4B990C8-DF1C-4DC0-BE15-059F45623901}" uniqueName="ns1:designator" name="ns1:designator" dataDxfId="4">
      <xmlColumnPr mapId="22" xpath="/ns1:report/ns1:document/ns1:content/ns1:container/ns1:container/ns1:text/ns1:concept/ns1:scheme/ns1:designator" xmlDataType="string"/>
    </tableColumn>
    <tableColumn id="4" xr3:uid="{4DCCCA5A-187C-4A0A-90EC-F26FAB7B6062}" uniqueName="ns1:meaning" name="ns1:meaning" dataDxfId="3">
      <xmlColumnPr mapId="22" xpath="/ns1:report/ns1:document/ns1:content/ns1:container/ns1:container/ns1:text/ns1:concept/ns1:meaning" xmlDataType="string"/>
    </tableColumn>
    <tableColumn id="5" xr3:uid="{EE18DBE7-81FE-4947-B3A6-56677970C158}" uniqueName="ns1:value" name="ns1:value2">
      <calculatedColumnFormula>'Z Value Calculator'!B11</calculatedColumnFormula>
      <xmlColumnPr mapId="22" xpath="/ns1:report/ns1:document/ns1:content/ns1:container/ns1:container/ns1:text/ns1:value" xmlDataType="double"/>
    </tableColumn>
    <tableColumn id="6" xr3:uid="{9116FEE0-721D-41F4-B8D2-98264CC1C60E}" uniqueName="ns1:value" name="ns1:value3" dataDxfId="2">
      <xmlColumnPr mapId="22" xpath="/ns1:report/ns1:document/ns1:content/ns1:container/ns1:container/ns1:text/ns1:unit/ns1:value" xmlDataType="string"/>
    </tableColumn>
    <tableColumn id="7" xr3:uid="{EC453367-F040-4069-ACF9-365D750E595D}" uniqueName="ns1:designator" name="ns1:designator4" dataDxfId="1">
      <xmlColumnPr mapId="22" xpath="/ns1:report/ns1:document/ns1:content/ns1:container/ns1:container/ns1:text/ns1:unit/ns1:scheme/ns1:designator" xmlDataType="string"/>
    </tableColumn>
    <tableColumn id="8" xr3:uid="{F2468A34-724A-49F9-962E-F8294CAC5FE3}" uniqueName="ns1:version" name="ns1:version">
      <xmlColumnPr mapId="22" xpath="/ns1:report/ns1:document/ns1:content/ns1:container/ns1:container/ns1:text/ns1:unit/ns1:scheme/ns1:version" xmlDataType="double"/>
    </tableColumn>
    <tableColumn id="9" xr3:uid="{B81CBFEA-32E2-4568-AD7B-433A98421AB4}" uniqueName="ns1:meaning" name="ns1:meaning5" dataDxfId="0">
      <xmlColumnPr mapId="22" xpath="/ns1:report/ns1:document/ns1:content/ns1:container/ns1:container/ns1:text/ns1:unit/ns1:meaning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33" xr6:uid="{B24319B1-0D8B-4D04-A44C-1BBEE4B11CED}" r="D2" connectionId="5">
    <xmlCellPr id="1" xr6:uid="{7C88520D-6C21-4CB3-8F84-B0A01014E467}" uniqueName="type">
      <xmlPr mapId="22" xpath="/ns1:report/@type" xmlDataType="string"/>
    </xmlCellPr>
  </singleXmlCell>
  <singleXmlCell id="134" xr6:uid="{A8E0BEC4-B729-4ACB-8D9D-8F0B8DEE566A}" r="D3" connectionId="5">
    <xmlCellPr id="1" xr6:uid="{0DFC397C-5AE7-4290-87A7-F32AB84154CD}" uniqueName="uid">
      <xmlPr mapId="22" xpath="/ns1:report/ns1:sopclass/@uid" xmlDataType="string"/>
    </xmlCellPr>
  </singleXmlCell>
  <singleXmlCell id="135" xr6:uid="{1D4D2E9C-8968-4254-BD77-3163E047588E}" r="D4" connectionId="5">
    <xmlCellPr id="1" xr6:uid="{4689478B-574C-4BFF-A4EB-46D074F64F90}" uniqueName="ns1:sopclass">
      <xmlPr mapId="22" xpath="/ns1:report/ns1:sopclass" xmlDataType="string"/>
    </xmlCellPr>
  </singleXmlCell>
  <singleXmlCell id="136" xr6:uid="{BDB830E0-14E5-4341-9E0C-26DFEEF776B3}" r="D5" connectionId="5">
    <xmlCellPr id="1" xr6:uid="{A110B91C-EC8B-4BA7-BDD8-9682093EFEFB}" uniqueName="ns1:modality">
      <xmlPr mapId="22" xpath="/ns1:report/ns1:modality" xmlDataType="string"/>
    </xmlCellPr>
  </singleXmlCell>
  <singleXmlCell id="137" xr6:uid="{F9532CA6-3424-4A7C-AD83-699F7215AA9D}" r="D6" connectionId="5">
    <xmlCellPr id="1" xr6:uid="{99846EF7-7C35-4584-8073-E28841B6C818}" uniqueName="ns1:manufacturer">
      <xmlPr mapId="22" xpath="/ns1:report/ns1:device/ns1:manufacturer" xmlDataType="string"/>
    </xmlCellPr>
  </singleXmlCell>
  <singleXmlCell id="138" xr6:uid="{9A400F5C-C894-4AE0-9795-710616DEBC9C}" r="D7" connectionId="5">
    <xmlCellPr id="1" xr6:uid="{F22D290E-8F26-4AE0-B7B6-1F1A1640482F}" uniqueName="ns1:model">
      <xmlPr mapId="22" xpath="/ns1:report/ns1:device/ns1:model" xmlDataType="string"/>
    </xmlCellPr>
  </singleXmlCell>
  <singleXmlCell id="139" xr6:uid="{73643EDE-1805-4C4A-A537-DCE47D0AEA0C}" r="D8" connectionId="5">
    <xmlCellPr id="1" xr6:uid="{36FD0684-07E8-4790-A05A-FD5D05B4FD16}" uniqueName="ns1:serial">
      <xmlPr mapId="22" xpath="/ns1:report/ns1:device/ns1:serial" xmlDataType="integer"/>
    </xmlCellPr>
  </singleXmlCell>
  <singleXmlCell id="140" xr6:uid="{D3398877-87E0-4304-9F0F-814688C7B085}" r="D9" connectionId="5">
    <xmlCellPr id="1" xr6:uid="{50AFD520-29F9-49F4-8ECC-7037A02D0108}" uniqueName="ns1:version">
      <xmlPr mapId="22" xpath="/ns1:report/ns1:device/ns1:version" xmlDataType="string"/>
    </xmlCellPr>
  </singleXmlCell>
  <singleXmlCell id="141" xr6:uid="{68E1CA2C-A5D2-45C7-B1EB-D648DD4319BC}" r="D10" connectionId="5">
    <xmlCellPr id="1" xr6:uid="{4CC8F70D-30A2-4150-9FA6-FAF22679E96C}" uniqueName="ns1:id">
      <xmlPr mapId="22" xpath="/ns1:report/ns1:patient/ns1:id" xmlDataType="integer"/>
    </xmlCellPr>
  </singleXmlCell>
  <singleXmlCell id="142" xr6:uid="{844CECBB-F16B-4A29-B01B-2409423B3B10}" r="D11" connectionId="5">
    <xmlCellPr id="1" xr6:uid="{8D01D710-27BA-41E6-AAEC-E573E8C7674A}" uniqueName="ns1:date">
      <xmlPr mapId="22" xpath="/ns1:report/ns1:study/ns1:date" xmlDataType="date"/>
    </xmlCellPr>
  </singleXmlCell>
  <singleXmlCell id="143" xr6:uid="{8DBC229B-3292-43C9-8975-1115E7FC7C3B}" r="D13" connectionId="5">
    <xmlCellPr id="1" xr6:uid="{B5E2CB50-675B-44D5-AA74-88CB6EB32CD3}" uniqueName="ns1:number">
      <xmlPr mapId="22" xpath="/ns1:report/ns1:study/ns1:accession/ns1:number" xmlDataType="string"/>
    </xmlCellPr>
  </singleXmlCell>
  <singleXmlCell id="144" xr6:uid="{747D8A6D-A8E6-4F7A-9AEC-85962DA9B9D4}" r="D14" connectionId="5">
    <xmlCellPr id="1" xr6:uid="{255F44A1-722E-46E4-BF39-1EBA43AAA632}" uniqueName="ns1:description">
      <xmlPr mapId="22" xpath="/ns1:report/ns1:study/ns1:description" xmlDataType="string"/>
    </xmlCellPr>
  </singleXmlCell>
  <singleXmlCell id="145" xr6:uid="{1647BFC3-36BD-4F6E-9D1F-14CB01C53085}" r="D15" connectionId="5">
    <xmlCellPr id="1" xr6:uid="{D9AE7821-CFA6-4B4C-A851-24C657B43930}" uniqueName="ns1:number">
      <xmlPr mapId="22" xpath="/ns1:report/ns1:series/ns1:number" xmlDataType="integer"/>
    </xmlCellPr>
  </singleXmlCell>
  <singleXmlCell id="146" xr6:uid="{0055C2F7-8545-4C4A-BCE4-96F27364B11F}" r="D16" connectionId="5">
    <xmlCellPr id="1" xr6:uid="{634D3E27-68E0-4DE1-96EB-282BFB6A8586}" uniqueName="ns1:date">
      <xmlPr mapId="22" xpath="/ns1:report/ns1:series/ns1:date" xmlDataType="date"/>
    </xmlCellPr>
  </singleXmlCell>
  <singleXmlCell id="147" xr6:uid="{F55D108D-DF8F-450B-BE90-DAA4D674B39B}" r="D17" connectionId="5">
    <xmlCellPr id="1" xr6:uid="{9540CBDA-6CE6-4890-B8DC-31B6F9205B41}" uniqueName="ns1:time">
      <xmlPr mapId="22" xpath="/ns1:report/ns1:series/ns1:time" xmlDataType="time"/>
    </xmlCellPr>
  </singleXmlCell>
  <singleXmlCell id="148" xr6:uid="{8774F773-AC2D-4E08-9E0A-40A8B1EE589D}" r="D18" connectionId="5">
    <xmlCellPr id="1" xr6:uid="{D6096B0C-2CAC-4314-817C-992637A1491C}" uniqueName="ns1:description">
      <xmlPr mapId="22" xpath="/ns1:report/ns1:series/ns1:description" xmlDataType="string"/>
    </xmlCellPr>
  </singleXmlCell>
  <singleXmlCell id="149" xr6:uid="{B3C0F90D-17E3-4367-8DAC-1C0B1D97365B}" r="D19" connectionId="5">
    <xmlCellPr id="1" xr6:uid="{ECEAA6D4-83A9-489F-B7D5-D53D8A3F5C33}" uniqueName="ns1:number">
      <xmlPr mapId="22" xpath="/ns1:report/ns1:instance/ns1:number" xmlDataType="integer"/>
    </xmlCellPr>
  </singleXmlCell>
  <singleXmlCell id="150" xr6:uid="{500CE032-5AB2-408A-9284-9FD6AEDF7593}" r="D22" connectionId="5">
    <xmlCellPr id="1" xr6:uid="{7F6300FC-537C-4D82-B2C7-29C1AC54C87F}" uniqueName="flag">
      <xmlPr mapId="22" xpath="/ns1:report/ns1:document/ns1:content/ns1:container/@flag" xmlDataType="string"/>
    </xmlCellPr>
  </singleXmlCell>
  <singleXmlCell id="151" xr6:uid="{0F85D021-C79B-4164-9078-4CC4AAF5FC49}" r="D23" connectionId="5">
    <xmlCellPr id="1" xr6:uid="{0F502BAD-37B9-44DC-BBF6-C6C2CF188D0C}" uniqueName="ns1:value">
      <xmlPr mapId="22" xpath="/ns1:report/ns1:document/ns1:content/ns1:container/ns1:concept/ns1:value" xmlDataType="integer"/>
    </xmlCellPr>
  </singleXmlCell>
  <singleXmlCell id="152" xr6:uid="{30DA5BBC-1393-4F9E-A6A5-3B8A53661A94}" r="D24" connectionId="5">
    <xmlCellPr id="1" xr6:uid="{BF8A17D3-D169-4B46-B8EC-71F9510A7718}" uniqueName="ns1:designator">
      <xmlPr mapId="22" xpath="/ns1:report/ns1:document/ns1:content/ns1:container/ns1:concept/ns1:scheme/ns1:designator" xmlDataType="string"/>
    </xmlCellPr>
  </singleXmlCell>
  <singleXmlCell id="153" xr6:uid="{0BD0C749-8881-4074-8D09-746EA7608EA9}" r="D25" connectionId="5">
    <xmlCellPr id="1" xr6:uid="{09A40003-2ABA-4D08-BC1E-D1B25BF1752A}" uniqueName="ns1:meaning">
      <xmlPr mapId="22" xpath="/ns1:report/ns1:document/ns1:content/ns1:container/ns1:concept/ns1:meaning" xmlDataType="string"/>
    </xmlCellPr>
  </singleXmlCell>
  <singleXmlCell id="154" xr6:uid="{B8CA7F7D-A22A-42A3-AB3A-86FAB26258BC}" r="D26" connectionId="5">
    <xmlCellPr id="1" xr6:uid="{7F66307C-127B-4ADD-9E56-4D078DC1FCE4}" uniqueName="flag">
      <xmlPr mapId="22" xpath="/ns1:report/ns1:document/ns1:content/ns1:container/ns1:container/@flag" xmlDataType="string"/>
    </xmlCellPr>
  </singleXmlCell>
  <singleXmlCell id="155" xr6:uid="{2EAA5312-C207-4E04-A55C-C8C7739C6D00}" r="D27" connectionId="5">
    <xmlCellPr id="1" xr6:uid="{9693F98D-0DFF-45F9-A05A-19CE5CAE8EDE}" uniqueName="ns1:relationship">
      <xmlPr mapId="22" xpath="/ns1:report/ns1:document/ns1:content/ns1:container/ns1:container/ns1:relationship" xmlDataType="string"/>
    </xmlCellPr>
  </singleXmlCell>
  <singleXmlCell id="156" xr6:uid="{D9C02173-C7CB-476E-9B3C-5F5A62A73779}" r="D28" connectionId="5">
    <xmlCellPr id="1" xr6:uid="{AD086CA8-0E76-42D2-B0A3-20B2AB1B6F03}" uniqueName="ns1:value">
      <xmlPr mapId="22" xpath="/ns1:report/ns1:document/ns1:content/ns1:container/ns1:container/ns1:concept/ns1:value" xmlDataType="string"/>
    </xmlCellPr>
  </singleXmlCell>
  <singleXmlCell id="157" xr6:uid="{B04DCD14-0460-4D73-83E2-DE46F99DC8BF}" r="D29" connectionId="5">
    <xmlCellPr id="1" xr6:uid="{D9ECB837-8A5B-407D-8181-C77A30C21892}" uniqueName="ns1:designator">
      <xmlPr mapId="22" xpath="/ns1:report/ns1:document/ns1:content/ns1:container/ns1:container/ns1:concept/ns1:scheme/ns1:designator" xmlDataType="string"/>
    </xmlCellPr>
  </singleXmlCell>
  <singleXmlCell id="158" xr6:uid="{440C14A2-444C-48FE-A5A1-A16DD617A136}" r="D30" connectionId="5">
    <xmlCellPr id="1" xr6:uid="{548727A7-6D1E-40DB-B44A-902B0FE95D61}" uniqueName="ns1:meaning">
      <xmlPr mapId="22" xpath="/ns1:report/ns1:document/ns1:content/ns1:container/ns1:container/ns1:concept/ns1:meaning" xmlDataType="string"/>
    </xmlCellPr>
  </singleXmlCell>
</singleXmlCel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C0E5B-0FE7-4524-B7F8-A34990C0482F}">
  <sheetPr codeName="Sheet1"/>
  <dimension ref="A1:Q82"/>
  <sheetViews>
    <sheetView tabSelected="1" zoomScale="85" zoomScaleNormal="85" workbookViewId="0">
      <selection activeCell="B9" sqref="B9"/>
    </sheetView>
  </sheetViews>
  <sheetFormatPr defaultRowHeight="15" x14ac:dyDescent="0.25"/>
  <cols>
    <col min="1" max="1" width="24.7109375" bestFit="1" customWidth="1"/>
    <col min="2" max="2" width="14.140625" customWidth="1"/>
    <col min="3" max="3" width="3.140625" style="4" customWidth="1"/>
    <col min="4" max="4" width="15.140625" bestFit="1" customWidth="1"/>
    <col min="5" max="5" width="12.28515625" style="5" bestFit="1" customWidth="1"/>
    <col min="6" max="6" width="10.42578125" customWidth="1"/>
    <col min="7" max="7" width="3.7109375" customWidth="1"/>
    <col min="8" max="8" width="19.5703125" bestFit="1" customWidth="1"/>
    <col min="9" max="9" width="11.5703125" customWidth="1"/>
    <col min="10" max="10" width="3.42578125" customWidth="1"/>
    <col min="11" max="11" width="15.140625" bestFit="1" customWidth="1"/>
    <col min="12" max="12" width="12.5703125" bestFit="1" customWidth="1"/>
    <col min="13" max="13" width="11.140625" customWidth="1"/>
    <col min="14" max="14" width="3.140625" customWidth="1"/>
    <col min="15" max="15" width="10.140625" bestFit="1" customWidth="1"/>
    <col min="16" max="16" width="12.85546875" bestFit="1" customWidth="1"/>
    <col min="17" max="17" width="10.85546875" bestFit="1" customWidth="1"/>
    <col min="18" max="18" width="3.28515625" customWidth="1"/>
    <col min="19" max="19" width="15.140625" bestFit="1" customWidth="1"/>
    <col min="20" max="20" width="14.42578125" customWidth="1"/>
    <col min="21" max="21" width="11.140625" customWidth="1"/>
    <col min="23" max="23" width="25.5703125" bestFit="1" customWidth="1"/>
    <col min="24" max="24" width="13.7109375" customWidth="1"/>
    <col min="26" max="26" width="15.140625" bestFit="1" customWidth="1"/>
    <col min="27" max="27" width="13.85546875" customWidth="1"/>
    <col min="28" max="28" width="11.28515625" customWidth="1"/>
  </cols>
  <sheetData>
    <row r="1" spans="1:17" x14ac:dyDescent="0.25">
      <c r="A1" s="16" t="s">
        <v>25</v>
      </c>
      <c r="B1" s="89"/>
      <c r="C1" s="89"/>
      <c r="D1" s="89"/>
      <c r="H1" s="1" t="s">
        <v>28</v>
      </c>
      <c r="I1" s="18"/>
    </row>
    <row r="2" spans="1:17" x14ac:dyDescent="0.25">
      <c r="A2" s="16"/>
      <c r="H2" s="1"/>
    </row>
    <row r="3" spans="1:17" x14ac:dyDescent="0.25">
      <c r="A3" s="16" t="s">
        <v>26</v>
      </c>
      <c r="B3" s="56"/>
      <c r="H3" s="1" t="s">
        <v>29</v>
      </c>
      <c r="I3" s="18"/>
    </row>
    <row r="4" spans="1:17" x14ac:dyDescent="0.25">
      <c r="A4" s="16"/>
      <c r="B4" s="10"/>
      <c r="H4" s="1"/>
    </row>
    <row r="5" spans="1:17" x14ac:dyDescent="0.25">
      <c r="A5" s="16" t="s">
        <v>70</v>
      </c>
      <c r="B5" s="90"/>
      <c r="C5" s="90"/>
      <c r="H5" s="16" t="s">
        <v>30</v>
      </c>
      <c r="I5" s="91"/>
      <c r="J5" s="91"/>
      <c r="K5" s="91"/>
    </row>
    <row r="6" spans="1:17" x14ac:dyDescent="0.25">
      <c r="A6" s="16"/>
      <c r="B6" s="14"/>
      <c r="H6" s="1"/>
      <c r="I6" s="2"/>
    </row>
    <row r="7" spans="1:17" x14ac:dyDescent="0.25">
      <c r="A7" s="16" t="s">
        <v>27</v>
      </c>
      <c r="B7" s="57"/>
      <c r="H7" s="1"/>
      <c r="I7" s="2"/>
      <c r="M7" s="40"/>
    </row>
    <row r="8" spans="1:17" x14ac:dyDescent="0.25">
      <c r="A8" s="1"/>
      <c r="H8" s="1"/>
      <c r="L8" s="50" t="s">
        <v>128</v>
      </c>
      <c r="M8" s="37"/>
    </row>
    <row r="9" spans="1:17" x14ac:dyDescent="0.25">
      <c r="A9" s="1" t="s">
        <v>17</v>
      </c>
      <c r="B9" s="19"/>
      <c r="D9" s="1" t="s">
        <v>16</v>
      </c>
      <c r="E9" s="19"/>
      <c r="H9" s="16" t="s">
        <v>15</v>
      </c>
      <c r="I9" s="86">
        <f>0.024265*POWER(B9,0.3964)*POWER(E9,0.5378)</f>
        <v>0</v>
      </c>
      <c r="J9" s="23" t="s">
        <v>108</v>
      </c>
      <c r="L9" s="47" t="s">
        <v>103</v>
      </c>
      <c r="M9" s="37"/>
      <c r="N9" s="1"/>
      <c r="O9" s="1"/>
    </row>
    <row r="10" spans="1:17" x14ac:dyDescent="0.25">
      <c r="A10" s="1"/>
      <c r="I10" s="23" t="s">
        <v>109</v>
      </c>
      <c r="L10" s="48" t="s">
        <v>104</v>
      </c>
      <c r="M10" s="37"/>
    </row>
    <row r="11" spans="1:17" x14ac:dyDescent="0.25">
      <c r="A11" s="1" t="s">
        <v>19</v>
      </c>
      <c r="B11" s="19"/>
      <c r="D11" s="1" t="s">
        <v>18</v>
      </c>
      <c r="E11" s="20"/>
      <c r="F11" s="23" t="s">
        <v>24</v>
      </c>
      <c r="H11" s="1" t="s">
        <v>14</v>
      </c>
      <c r="I11" s="19"/>
      <c r="L11" s="49" t="s">
        <v>105</v>
      </c>
    </row>
    <row r="12" spans="1:17" x14ac:dyDescent="0.25">
      <c r="A12" s="1"/>
    </row>
    <row r="13" spans="1:17" x14ac:dyDescent="0.25">
      <c r="A13" s="1" t="s">
        <v>20</v>
      </c>
      <c r="B13" s="20"/>
      <c r="D13" s="8" t="s">
        <v>22</v>
      </c>
      <c r="Q13" s="2"/>
    </row>
    <row r="15" spans="1:17" x14ac:dyDescent="0.25">
      <c r="A15" s="92" t="s">
        <v>106</v>
      </c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</row>
    <row r="16" spans="1:17" x14ac:dyDescent="0.25">
      <c r="A16" s="42"/>
      <c r="B16" s="41"/>
      <c r="C16" s="42"/>
      <c r="D16" s="43"/>
      <c r="E16" s="16"/>
      <c r="F16" s="16"/>
      <c r="G16" s="42"/>
    </row>
    <row r="17" spans="1:11" x14ac:dyDescent="0.25">
      <c r="A17" s="64" t="s">
        <v>8</v>
      </c>
      <c r="B17" s="72" t="s">
        <v>111</v>
      </c>
      <c r="C17" s="34"/>
      <c r="D17" s="72" t="s">
        <v>272</v>
      </c>
      <c r="E17" s="29" t="s">
        <v>114</v>
      </c>
      <c r="F17" s="2"/>
      <c r="H17" s="71" t="s">
        <v>115</v>
      </c>
      <c r="I17" s="72" t="s">
        <v>116</v>
      </c>
      <c r="J17" s="72"/>
      <c r="K17" s="73" t="s">
        <v>117</v>
      </c>
    </row>
    <row r="18" spans="1:11" x14ac:dyDescent="0.25">
      <c r="A18" s="65" t="s">
        <v>241</v>
      </c>
      <c r="B18" s="59"/>
      <c r="C18" s="34"/>
      <c r="D18" s="61" t="str">
        <f>IF(OR(ISBLANK(B18),$I$9&lt;0.16),"0.00",B18/(POWER($I$9,H18)))</f>
        <v>0.00</v>
      </c>
      <c r="E18" s="53" t="str">
        <f>IF(OR(ISBLANK(B18),$I$9&lt;0.16),"0.00",(D18-I18)/K18)</f>
        <v>0.00</v>
      </c>
      <c r="F18" s="6"/>
      <c r="H18" s="77">
        <v>0.49</v>
      </c>
      <c r="I18" s="75">
        <v>19.021000000000001</v>
      </c>
      <c r="J18" s="75"/>
      <c r="K18" s="78">
        <v>1.929</v>
      </c>
    </row>
    <row r="19" spans="1:11" x14ac:dyDescent="0.25">
      <c r="A19" s="66" t="s">
        <v>242</v>
      </c>
      <c r="B19" s="59"/>
      <c r="C19" s="60"/>
      <c r="D19" s="61" t="str">
        <f t="shared" ref="D19:D32" si="0">IF(OR(ISBLANK(B19),$I$9&lt;0.16),"0.00",B19/(POWER($I$9,H19)))</f>
        <v>0.00</v>
      </c>
      <c r="E19" s="53" t="str">
        <f t="shared" ref="E19:E32" si="1">IF(OR(ISBLANK(B19),$I$9&lt;0.16),"0.00",(D19-I19)/K19)</f>
        <v>0.00</v>
      </c>
      <c r="F19" s="2"/>
      <c r="H19" s="79">
        <v>0.47</v>
      </c>
      <c r="I19" s="76">
        <v>20.029</v>
      </c>
      <c r="J19" s="76"/>
      <c r="K19" s="30">
        <v>1.85</v>
      </c>
    </row>
    <row r="20" spans="1:11" x14ac:dyDescent="0.25">
      <c r="A20" s="66" t="s">
        <v>243</v>
      </c>
      <c r="B20" s="59"/>
      <c r="C20" s="60"/>
      <c r="D20" s="61" t="str">
        <f t="shared" si="0"/>
        <v>0.00</v>
      </c>
      <c r="E20" s="53" t="str">
        <f t="shared" si="1"/>
        <v>0.00</v>
      </c>
      <c r="F20" s="2"/>
      <c r="H20" s="79">
        <v>0.47</v>
      </c>
      <c r="I20" s="76">
        <v>20.221</v>
      </c>
      <c r="J20" s="76"/>
      <c r="K20" s="30">
        <v>2.1509999999999998</v>
      </c>
    </row>
    <row r="21" spans="1:11" x14ac:dyDescent="0.25">
      <c r="A21" s="66" t="s">
        <v>229</v>
      </c>
      <c r="B21" s="59"/>
      <c r="C21" s="60"/>
      <c r="D21" s="61" t="str">
        <f t="shared" si="0"/>
        <v>0.00</v>
      </c>
      <c r="E21" s="53" t="str">
        <f t="shared" si="1"/>
        <v>0.00</v>
      </c>
      <c r="F21" s="2"/>
      <c r="H21" s="79">
        <v>0.5</v>
      </c>
      <c r="I21" s="76">
        <v>17.841999999999999</v>
      </c>
      <c r="J21" s="76"/>
      <c r="K21" s="30">
        <v>1.649</v>
      </c>
    </row>
    <row r="22" spans="1:11" x14ac:dyDescent="0.25">
      <c r="A22" s="66" t="s">
        <v>230</v>
      </c>
      <c r="B22" s="59"/>
      <c r="C22" s="60"/>
      <c r="D22" s="61" t="str">
        <f t="shared" si="0"/>
        <v>0.00</v>
      </c>
      <c r="E22" s="53" t="str">
        <f t="shared" si="1"/>
        <v>0.00</v>
      </c>
      <c r="F22" s="2"/>
      <c r="H22" s="79">
        <v>0.49</v>
      </c>
      <c r="I22" s="76">
        <v>16.952000000000002</v>
      </c>
      <c r="J22" s="76"/>
      <c r="K22" s="30">
        <v>1.6739999999999999</v>
      </c>
    </row>
    <row r="23" spans="1:11" x14ac:dyDescent="0.25">
      <c r="A23" s="66" t="s">
        <v>231</v>
      </c>
      <c r="B23" s="59"/>
      <c r="C23" s="60"/>
      <c r="D23" s="61" t="str">
        <f t="shared" si="0"/>
        <v>0.00</v>
      </c>
      <c r="E23" s="53" t="str">
        <f t="shared" si="1"/>
        <v>0.00</v>
      </c>
      <c r="F23" s="2"/>
      <c r="H23" s="79">
        <v>0.49</v>
      </c>
      <c r="I23" s="76">
        <v>18.236000000000001</v>
      </c>
      <c r="J23" s="76"/>
      <c r="K23" s="30">
        <v>2.0790000000000002</v>
      </c>
    </row>
    <row r="24" spans="1:11" x14ac:dyDescent="0.25">
      <c r="A24" s="66" t="s">
        <v>232</v>
      </c>
      <c r="B24" s="59"/>
      <c r="C24" s="60"/>
      <c r="D24" s="61" t="str">
        <f t="shared" si="0"/>
        <v>0.00</v>
      </c>
      <c r="E24" s="53" t="str">
        <f t="shared" si="1"/>
        <v>0.00</v>
      </c>
      <c r="F24" s="2"/>
      <c r="H24" s="79">
        <v>0.51</v>
      </c>
      <c r="I24" s="76">
        <v>17.398</v>
      </c>
      <c r="J24" s="76"/>
      <c r="K24" s="30">
        <v>2.1179999999999999</v>
      </c>
    </row>
    <row r="25" spans="1:11" x14ac:dyDescent="0.25">
      <c r="A25" s="66" t="s">
        <v>302</v>
      </c>
      <c r="B25" s="59"/>
      <c r="C25" s="74"/>
      <c r="D25" s="61" t="str">
        <f t="shared" si="0"/>
        <v>0.00</v>
      </c>
      <c r="E25" s="53" t="str">
        <f t="shared" si="1"/>
        <v>0.00</v>
      </c>
      <c r="F25" s="2"/>
      <c r="H25" s="79">
        <v>0.47</v>
      </c>
      <c r="I25" s="76">
        <v>17.233000000000001</v>
      </c>
      <c r="J25" s="76"/>
      <c r="K25" s="30">
        <v>2.3479999999999999</v>
      </c>
    </row>
    <row r="26" spans="1:11" x14ac:dyDescent="0.25">
      <c r="A26" s="67" t="s">
        <v>237</v>
      </c>
      <c r="B26" s="59"/>
      <c r="C26" s="37"/>
      <c r="D26" s="61" t="str">
        <f t="shared" si="0"/>
        <v>0.00</v>
      </c>
      <c r="E26" s="53" t="str">
        <f t="shared" si="1"/>
        <v>0.00</v>
      </c>
      <c r="F26" s="2"/>
      <c r="H26" s="79">
        <v>0.49</v>
      </c>
      <c r="I26" s="76">
        <v>15.625</v>
      </c>
      <c r="J26" s="76"/>
      <c r="K26" s="30">
        <v>1.8979999999999999</v>
      </c>
    </row>
    <row r="27" spans="1:11" x14ac:dyDescent="0.25">
      <c r="A27" s="67" t="s">
        <v>238</v>
      </c>
      <c r="B27" s="59"/>
      <c r="C27" s="37"/>
      <c r="D27" s="61" t="str">
        <f t="shared" si="0"/>
        <v>0.00</v>
      </c>
      <c r="E27" s="53" t="str">
        <f t="shared" si="1"/>
        <v>0.00</v>
      </c>
      <c r="F27" s="2"/>
      <c r="H27" s="79">
        <v>0.54</v>
      </c>
      <c r="I27" s="76">
        <v>15.891</v>
      </c>
      <c r="J27" s="76"/>
      <c r="K27" s="30">
        <v>1.8740000000000001</v>
      </c>
    </row>
    <row r="28" spans="1:11" x14ac:dyDescent="0.25">
      <c r="A28" s="67" t="s">
        <v>239</v>
      </c>
      <c r="B28" s="59"/>
      <c r="C28" s="37"/>
      <c r="D28" s="61" t="str">
        <f t="shared" si="0"/>
        <v>0.00</v>
      </c>
      <c r="E28" s="53" t="str">
        <f t="shared" si="1"/>
        <v>0.00</v>
      </c>
      <c r="F28" s="2"/>
      <c r="H28" s="79">
        <v>0.53</v>
      </c>
      <c r="I28" s="76">
        <v>14.776999999999999</v>
      </c>
      <c r="J28" s="76"/>
      <c r="K28" s="30">
        <v>1.716</v>
      </c>
    </row>
    <row r="29" spans="1:11" x14ac:dyDescent="0.25">
      <c r="A29" s="67" t="s">
        <v>233</v>
      </c>
      <c r="B29" s="59"/>
      <c r="C29" s="37"/>
      <c r="D29" s="61" t="str">
        <f t="shared" si="0"/>
        <v>0.00</v>
      </c>
      <c r="E29" s="53" t="str">
        <f t="shared" si="1"/>
        <v>0.00</v>
      </c>
      <c r="F29" s="2"/>
      <c r="H29" s="79">
        <v>0.56000000000000005</v>
      </c>
      <c r="I29" s="76">
        <v>14.706</v>
      </c>
      <c r="J29" s="76"/>
      <c r="K29" s="30">
        <v>1.7769999999999999</v>
      </c>
    </row>
    <row r="30" spans="1:11" x14ac:dyDescent="0.25">
      <c r="A30" s="67" t="s">
        <v>234</v>
      </c>
      <c r="B30" s="59"/>
      <c r="C30" s="37"/>
      <c r="D30" s="61" t="str">
        <f t="shared" si="0"/>
        <v>0.00</v>
      </c>
      <c r="E30" s="53" t="str">
        <f t="shared" si="1"/>
        <v>0.00</v>
      </c>
      <c r="F30" s="2"/>
      <c r="H30" s="79">
        <v>0.56000000000000005</v>
      </c>
      <c r="I30" s="76">
        <v>13.795</v>
      </c>
      <c r="J30" s="76"/>
      <c r="K30" s="30">
        <v>1.637</v>
      </c>
    </row>
    <row r="31" spans="1:11" x14ac:dyDescent="0.25">
      <c r="A31" s="67" t="s">
        <v>235</v>
      </c>
      <c r="B31" s="59"/>
      <c r="C31" s="37"/>
      <c r="D31" s="61" t="str">
        <f t="shared" si="0"/>
        <v>0.00</v>
      </c>
      <c r="E31" s="53" t="str">
        <f t="shared" si="1"/>
        <v>0.00</v>
      </c>
      <c r="F31" s="2"/>
      <c r="H31" s="79">
        <v>0.42</v>
      </c>
      <c r="I31" s="76">
        <v>12.704000000000001</v>
      </c>
      <c r="J31" s="76"/>
      <c r="K31" s="30">
        <v>1.5009999999999999</v>
      </c>
    </row>
    <row r="32" spans="1:11" x14ac:dyDescent="0.25">
      <c r="A32" s="68" t="s">
        <v>236</v>
      </c>
      <c r="B32" s="35"/>
      <c r="C32" s="62"/>
      <c r="D32" s="27" t="str">
        <f t="shared" si="0"/>
        <v>0.00</v>
      </c>
      <c r="E32" s="54" t="str">
        <f t="shared" si="1"/>
        <v>0.00</v>
      </c>
      <c r="F32" s="2"/>
      <c r="H32" s="80">
        <v>0.43</v>
      </c>
      <c r="I32" s="81">
        <v>12.234</v>
      </c>
      <c r="J32" s="81"/>
      <c r="K32" s="32">
        <v>1.4970000000000001</v>
      </c>
    </row>
    <row r="33" spans="1:12" x14ac:dyDescent="0.25">
      <c r="A33" s="69"/>
      <c r="B33" s="21"/>
      <c r="C33" s="17"/>
      <c r="D33" s="21"/>
      <c r="E33" s="2"/>
      <c r="F33" s="2"/>
      <c r="H33" s="70"/>
      <c r="I33" s="74"/>
      <c r="J33" s="74"/>
      <c r="K33" s="21"/>
      <c r="L33" s="2"/>
    </row>
    <row r="34" spans="1:12" x14ac:dyDescent="0.25">
      <c r="A34" s="64" t="s">
        <v>7</v>
      </c>
      <c r="B34" s="34" t="s">
        <v>111</v>
      </c>
      <c r="C34" s="34"/>
      <c r="D34" s="72" t="s">
        <v>272</v>
      </c>
      <c r="E34" s="63" t="s">
        <v>114</v>
      </c>
      <c r="F34" s="2"/>
      <c r="H34" s="71" t="s">
        <v>115</v>
      </c>
      <c r="I34" s="72" t="s">
        <v>116</v>
      </c>
      <c r="J34" s="72"/>
      <c r="K34" s="73" t="s">
        <v>117</v>
      </c>
      <c r="L34" s="2"/>
    </row>
    <row r="35" spans="1:12" x14ac:dyDescent="0.25">
      <c r="A35" s="65" t="s">
        <v>241</v>
      </c>
      <c r="B35" s="58"/>
      <c r="C35" s="34"/>
      <c r="D35" s="61" t="str">
        <f>IF(OR(ISBLANK(B35),$I$9&lt;0.16),"0.00",B35/(POWER($I$9,H35)))</f>
        <v>0.00</v>
      </c>
      <c r="E35" s="52" t="str">
        <f>IF(OR(ISBLANK(B35),$I$9&lt;0.16),"0.00",(D35-I35)/K35)</f>
        <v>0.00</v>
      </c>
      <c r="F35" s="2"/>
      <c r="H35" s="82">
        <v>0.51</v>
      </c>
      <c r="I35" s="75">
        <v>17.759</v>
      </c>
      <c r="J35" s="75"/>
      <c r="K35" s="78">
        <v>1.746</v>
      </c>
      <c r="L35" s="2"/>
    </row>
    <row r="36" spans="1:12" x14ac:dyDescent="0.25">
      <c r="A36" s="66" t="s">
        <v>242</v>
      </c>
      <c r="B36" s="59"/>
      <c r="C36" s="60"/>
      <c r="D36" s="61" t="str">
        <f t="shared" ref="D36:D49" si="2">IF(OR(ISBLANK(B36),$I$9&lt;0.16),"0.00",B36/(POWER($I$9,H36)))</f>
        <v>0.00</v>
      </c>
      <c r="E36" s="53" t="str">
        <f t="shared" ref="E36:E49" si="3">IF(OR(ISBLANK(B36),$I$9&lt;0.16),"0.00",(D36-I36)/K36)</f>
        <v>0.00</v>
      </c>
      <c r="F36" s="2"/>
      <c r="H36" s="83">
        <v>0.5</v>
      </c>
      <c r="I36" s="76">
        <v>19.323</v>
      </c>
      <c r="J36" s="76"/>
      <c r="K36" s="30">
        <v>1.857</v>
      </c>
      <c r="L36" s="2"/>
    </row>
    <row r="37" spans="1:12" x14ac:dyDescent="0.25">
      <c r="A37" s="66" t="s">
        <v>243</v>
      </c>
      <c r="B37" s="59"/>
      <c r="C37" s="60"/>
      <c r="D37" s="61" t="str">
        <f t="shared" si="2"/>
        <v>0.00</v>
      </c>
      <c r="E37" s="53" t="str">
        <f t="shared" si="3"/>
        <v>0.00</v>
      </c>
      <c r="F37" s="2"/>
      <c r="H37" s="83">
        <v>0.51</v>
      </c>
      <c r="I37" s="76">
        <v>19.416</v>
      </c>
      <c r="J37" s="76"/>
      <c r="K37" s="30">
        <v>1.7849999999999999</v>
      </c>
      <c r="L37" s="2"/>
    </row>
    <row r="38" spans="1:12" x14ac:dyDescent="0.25">
      <c r="A38" s="66" t="s">
        <v>229</v>
      </c>
      <c r="B38" s="59"/>
      <c r="C38" s="60"/>
      <c r="D38" s="61" t="str">
        <f t="shared" si="2"/>
        <v>0.00</v>
      </c>
      <c r="E38" s="53" t="str">
        <f t="shared" si="3"/>
        <v>0.00</v>
      </c>
      <c r="F38" s="2"/>
      <c r="H38" s="83">
        <v>0.51</v>
      </c>
      <c r="I38" s="76">
        <v>16.773</v>
      </c>
      <c r="J38" s="76"/>
      <c r="K38" s="30">
        <v>1.79</v>
      </c>
      <c r="L38" s="2"/>
    </row>
    <row r="39" spans="1:12" x14ac:dyDescent="0.25">
      <c r="A39" s="66" t="s">
        <v>230</v>
      </c>
      <c r="B39" s="59"/>
      <c r="C39" s="60"/>
      <c r="D39" s="61" t="str">
        <f t="shared" si="2"/>
        <v>0.00</v>
      </c>
      <c r="E39" s="53" t="str">
        <f t="shared" si="3"/>
        <v>0.00</v>
      </c>
      <c r="F39" s="2"/>
      <c r="H39" s="83">
        <v>0.51</v>
      </c>
      <c r="I39" s="76">
        <v>15.978999999999999</v>
      </c>
      <c r="J39" s="76"/>
      <c r="K39" s="30">
        <v>1.696</v>
      </c>
      <c r="L39" s="2"/>
    </row>
    <row r="40" spans="1:12" x14ac:dyDescent="0.25">
      <c r="A40" s="66" t="s">
        <v>231</v>
      </c>
      <c r="B40" s="59"/>
      <c r="C40" s="60"/>
      <c r="D40" s="61" t="str">
        <f t="shared" si="2"/>
        <v>0.00</v>
      </c>
      <c r="E40" s="53" t="str">
        <f t="shared" si="3"/>
        <v>0.00</v>
      </c>
      <c r="F40" s="2"/>
      <c r="H40" s="83">
        <v>0.51</v>
      </c>
      <c r="I40" s="76">
        <v>16.646000000000001</v>
      </c>
      <c r="J40" s="76"/>
      <c r="K40" s="30">
        <v>1.9450000000000001</v>
      </c>
      <c r="L40" s="2"/>
    </row>
    <row r="41" spans="1:12" x14ac:dyDescent="0.25">
      <c r="A41" s="66" t="s">
        <v>232</v>
      </c>
      <c r="B41" s="59"/>
      <c r="C41" s="60"/>
      <c r="D41" s="61" t="str">
        <f t="shared" si="2"/>
        <v>0.00</v>
      </c>
      <c r="E41" s="53" t="str">
        <f t="shared" si="3"/>
        <v>0.00</v>
      </c>
      <c r="F41" s="2"/>
      <c r="H41" s="83">
        <v>0.51</v>
      </c>
      <c r="I41" s="76">
        <v>15.82</v>
      </c>
      <c r="J41" s="76"/>
      <c r="K41" s="30">
        <v>1.7470000000000001</v>
      </c>
      <c r="L41" s="2"/>
    </row>
    <row r="42" spans="1:12" x14ac:dyDescent="0.25">
      <c r="A42" s="66" t="s">
        <v>302</v>
      </c>
      <c r="B42" s="59"/>
      <c r="C42" s="74"/>
      <c r="D42" s="61" t="str">
        <f t="shared" ref="D42" si="4">IF(OR(ISBLANK(B42),$I$9&lt;0.16),"0.00",B42/(POWER($I$9,H42)))</f>
        <v>0.00</v>
      </c>
      <c r="E42" s="53" t="str">
        <f t="shared" ref="E42" si="5">IF(OR(ISBLANK(B42),$I$9&lt;0.16),"0.00",(D42-I42)/K42)</f>
        <v>0.00</v>
      </c>
      <c r="F42" s="2"/>
      <c r="H42" s="83">
        <v>0.44</v>
      </c>
      <c r="I42" s="76">
        <v>15.624000000000001</v>
      </c>
      <c r="J42" s="76"/>
      <c r="K42" s="30">
        <v>1.9670000000000001</v>
      </c>
      <c r="L42" s="2"/>
    </row>
    <row r="43" spans="1:12" x14ac:dyDescent="0.25">
      <c r="A43" s="67" t="s">
        <v>237</v>
      </c>
      <c r="B43" s="59"/>
      <c r="C43" s="37"/>
      <c r="D43" s="61" t="str">
        <f t="shared" si="2"/>
        <v>0.00</v>
      </c>
      <c r="E43" s="53" t="str">
        <f t="shared" si="3"/>
        <v>0.00</v>
      </c>
      <c r="F43" s="2"/>
      <c r="H43" s="83">
        <v>0.48</v>
      </c>
      <c r="I43" s="76">
        <v>14.14</v>
      </c>
      <c r="J43" s="76"/>
      <c r="K43" s="30">
        <v>2.105</v>
      </c>
      <c r="L43" s="2"/>
    </row>
    <row r="44" spans="1:12" x14ac:dyDescent="0.25">
      <c r="A44" s="67" t="s">
        <v>238</v>
      </c>
      <c r="B44" s="59"/>
      <c r="C44" s="37"/>
      <c r="D44" s="61" t="str">
        <f t="shared" si="2"/>
        <v>0.00</v>
      </c>
      <c r="E44" s="53" t="str">
        <f t="shared" si="3"/>
        <v>0.00</v>
      </c>
      <c r="F44" s="2"/>
      <c r="H44" s="83">
        <v>0.52</v>
      </c>
      <c r="I44" s="76">
        <v>14.686999999999999</v>
      </c>
      <c r="J44" s="76"/>
      <c r="K44" s="30">
        <v>1.871</v>
      </c>
      <c r="L44" s="2"/>
    </row>
    <row r="45" spans="1:12" x14ac:dyDescent="0.25">
      <c r="A45" s="67" t="s">
        <v>239</v>
      </c>
      <c r="B45" s="59"/>
      <c r="C45" s="37"/>
      <c r="D45" s="61" t="str">
        <f t="shared" si="2"/>
        <v>0.00</v>
      </c>
      <c r="E45" s="53" t="str">
        <f t="shared" si="3"/>
        <v>0.00</v>
      </c>
      <c r="F45" s="2"/>
      <c r="H45" s="83">
        <v>0.52</v>
      </c>
      <c r="I45" s="76">
        <v>13.744</v>
      </c>
      <c r="J45" s="76"/>
      <c r="K45" s="30">
        <v>1.7609999999999999</v>
      </c>
      <c r="L45" s="2"/>
    </row>
    <row r="46" spans="1:12" x14ac:dyDescent="0.25">
      <c r="A46" s="67" t="s">
        <v>233</v>
      </c>
      <c r="B46" s="59"/>
      <c r="C46" s="37"/>
      <c r="D46" s="61" t="str">
        <f t="shared" si="2"/>
        <v>0.00</v>
      </c>
      <c r="E46" s="53" t="str">
        <f t="shared" si="3"/>
        <v>0.00</v>
      </c>
      <c r="F46" s="2"/>
      <c r="H46" s="83">
        <v>0.55000000000000004</v>
      </c>
      <c r="I46" s="76">
        <v>13.71</v>
      </c>
      <c r="J46" s="76"/>
      <c r="K46" s="30">
        <v>1.595</v>
      </c>
      <c r="L46" s="2"/>
    </row>
    <row r="47" spans="1:12" x14ac:dyDescent="0.25">
      <c r="A47" s="67" t="s">
        <v>234</v>
      </c>
      <c r="B47" s="59"/>
      <c r="C47" s="37"/>
      <c r="D47" s="61" t="str">
        <f t="shared" si="2"/>
        <v>0.00</v>
      </c>
      <c r="E47" s="53" t="str">
        <f t="shared" si="3"/>
        <v>0.00</v>
      </c>
      <c r="F47" s="2"/>
      <c r="H47" s="83">
        <v>0.56999999999999995</v>
      </c>
      <c r="I47" s="76">
        <v>12.808999999999999</v>
      </c>
      <c r="J47" s="76"/>
      <c r="K47" s="30">
        <v>1.6359999999999999</v>
      </c>
      <c r="L47" s="2"/>
    </row>
    <row r="48" spans="1:12" x14ac:dyDescent="0.25">
      <c r="A48" s="67" t="s">
        <v>235</v>
      </c>
      <c r="B48" s="59"/>
      <c r="C48" s="37"/>
      <c r="D48" s="61" t="str">
        <f t="shared" si="2"/>
        <v>0.00</v>
      </c>
      <c r="E48" s="53" t="str">
        <f t="shared" si="3"/>
        <v>0.00</v>
      </c>
      <c r="F48" s="2"/>
      <c r="H48" s="83">
        <v>0.42</v>
      </c>
      <c r="I48" s="76">
        <v>11.901999999999999</v>
      </c>
      <c r="J48" s="76"/>
      <c r="K48" s="30">
        <v>1.3580000000000001</v>
      </c>
      <c r="L48" s="2"/>
    </row>
    <row r="49" spans="1:17" x14ac:dyDescent="0.25">
      <c r="A49" s="68" t="s">
        <v>236</v>
      </c>
      <c r="B49" s="35"/>
      <c r="C49" s="62"/>
      <c r="D49" s="27" t="str">
        <f t="shared" si="2"/>
        <v>0.00</v>
      </c>
      <c r="E49" s="54" t="str">
        <f t="shared" si="3"/>
        <v>0.00</v>
      </c>
      <c r="F49" s="2"/>
      <c r="H49" s="84">
        <v>0.42</v>
      </c>
      <c r="I49" s="81">
        <v>11.462999999999999</v>
      </c>
      <c r="J49" s="81"/>
      <c r="K49" s="32">
        <v>1.2290000000000001</v>
      </c>
      <c r="L49" s="2"/>
    </row>
    <row r="50" spans="1:17" x14ac:dyDescent="0.25">
      <c r="A50" s="2"/>
      <c r="B50" s="2"/>
      <c r="C50" s="21"/>
      <c r="D50" s="2"/>
      <c r="E50" s="2"/>
      <c r="F50" s="2"/>
      <c r="G50" s="2"/>
      <c r="H50" s="2"/>
      <c r="I50" s="2"/>
      <c r="J50" s="2"/>
      <c r="K50" s="2"/>
    </row>
    <row r="51" spans="1:17" x14ac:dyDescent="0.25">
      <c r="A51" s="16" t="s">
        <v>126</v>
      </c>
    </row>
    <row r="52" spans="1:17" ht="56.1" customHeight="1" x14ac:dyDescent="0.25">
      <c r="A52" s="88" t="s">
        <v>240</v>
      </c>
      <c r="B52" s="88"/>
      <c r="C52" s="88"/>
      <c r="D52" s="88"/>
      <c r="E52" s="88"/>
      <c r="F52" s="88"/>
      <c r="G52" s="88"/>
      <c r="H52" s="88"/>
      <c r="I52" s="88"/>
      <c r="J52" s="7"/>
      <c r="K52" s="7"/>
      <c r="L52" s="7"/>
      <c r="M52" s="7"/>
      <c r="N52" s="7"/>
      <c r="O52" s="7"/>
    </row>
    <row r="53" spans="1:17" x14ac:dyDescent="0.25">
      <c r="A53" s="92" t="s">
        <v>107</v>
      </c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</row>
    <row r="55" spans="1:17" x14ac:dyDescent="0.25">
      <c r="A55" s="16" t="s">
        <v>17</v>
      </c>
      <c r="B55" s="85">
        <f>B9</f>
        <v>0</v>
      </c>
      <c r="D55" s="16" t="s">
        <v>16</v>
      </c>
      <c r="E55" s="85">
        <f>E9</f>
        <v>0</v>
      </c>
      <c r="H55" s="16" t="s">
        <v>15</v>
      </c>
      <c r="I55" s="87">
        <f>0.024265*POWER(B9,0.3964)*POWER(E9,0.5378)</f>
        <v>0</v>
      </c>
      <c r="J55" s="23" t="s">
        <v>108</v>
      </c>
    </row>
    <row r="56" spans="1:17" x14ac:dyDescent="0.25">
      <c r="C56"/>
      <c r="E56"/>
      <c r="H56" s="23" t="s">
        <v>109</v>
      </c>
      <c r="L56" s="23" t="s">
        <v>110</v>
      </c>
    </row>
    <row r="57" spans="1:17" x14ac:dyDescent="0.25">
      <c r="C57"/>
      <c r="E57"/>
    </row>
    <row r="58" spans="1:17" x14ac:dyDescent="0.25">
      <c r="A58" s="51" t="s">
        <v>8</v>
      </c>
      <c r="B58" s="28"/>
      <c r="C58" s="28"/>
      <c r="D58" s="28" t="s">
        <v>112</v>
      </c>
      <c r="E58" s="28" t="s">
        <v>113</v>
      </c>
      <c r="F58" s="34" t="s">
        <v>114</v>
      </c>
      <c r="G58" s="38"/>
      <c r="H58" s="51" t="s">
        <v>8</v>
      </c>
      <c r="I58" s="28"/>
      <c r="J58" s="28"/>
      <c r="K58" s="28" t="s">
        <v>112</v>
      </c>
      <c r="L58" s="28" t="s">
        <v>113</v>
      </c>
      <c r="M58" s="34" t="s">
        <v>114</v>
      </c>
      <c r="N58" s="38"/>
      <c r="O58" s="28" t="s">
        <v>115</v>
      </c>
      <c r="P58" s="28" t="s">
        <v>116</v>
      </c>
      <c r="Q58" s="29" t="s">
        <v>117</v>
      </c>
    </row>
    <row r="59" spans="1:17" x14ac:dyDescent="0.25">
      <c r="A59" s="44" t="s">
        <v>118</v>
      </c>
      <c r="B59" s="24"/>
      <c r="D59" s="26">
        <f>POWER($I$55,O59)*P59</f>
        <v>0</v>
      </c>
      <c r="E59" s="26">
        <f t="shared" ref="E59:E64" si="6">POWER($I$55,O59)*Q59</f>
        <v>0</v>
      </c>
      <c r="F59" s="52" t="str">
        <f>IF(OR(ISBLANK(B59),$I$55&lt;0.16),"0.00",(B59-D59)/E59)</f>
        <v>0.00</v>
      </c>
      <c r="H59" s="44" t="s">
        <v>118</v>
      </c>
      <c r="I59" s="24"/>
      <c r="J59" s="4"/>
      <c r="K59" s="26">
        <f>POWER($I$55,O59)*P59</f>
        <v>0</v>
      </c>
      <c r="L59" s="26">
        <f>POWER($I$55,O59)*Q59</f>
        <v>0</v>
      </c>
      <c r="M59" s="52" t="str">
        <f t="shared" ref="M59:M64" si="7">IF(OR(ISBLANK(I59),$I$55&lt;0.16),"0.00",(I59-K59)/L59)</f>
        <v>0.00</v>
      </c>
      <c r="N59" s="38"/>
      <c r="O59" s="22">
        <v>0.49</v>
      </c>
      <c r="P59" s="22">
        <v>20.282</v>
      </c>
      <c r="Q59" s="30">
        <v>2.6040000000000001</v>
      </c>
    </row>
    <row r="60" spans="1:17" x14ac:dyDescent="0.25">
      <c r="A60" s="44" t="s">
        <v>119</v>
      </c>
      <c r="B60" s="24"/>
      <c r="D60" s="26">
        <f t="shared" ref="D60:D64" si="8">POWER($I$55,O60)*P60</f>
        <v>0</v>
      </c>
      <c r="E60" s="26">
        <f t="shared" si="6"/>
        <v>0</v>
      </c>
      <c r="F60" s="53" t="str">
        <f>IF(OR(ISBLANK(B60),$I$55&lt;0.16),"0.00",(B60-D60)/E60)</f>
        <v>0.00</v>
      </c>
      <c r="H60" s="44" t="s">
        <v>119</v>
      </c>
      <c r="I60" s="24"/>
      <c r="J60" s="4"/>
      <c r="K60" s="26">
        <f t="shared" ref="K60:K64" si="9">POWER($I$55,O60)*P60</f>
        <v>0</v>
      </c>
      <c r="L60" s="26">
        <f t="shared" ref="L60:L64" si="10">POWER($I$55,O60)*Q60</f>
        <v>0</v>
      </c>
      <c r="M60" s="53" t="str">
        <f t="shared" si="7"/>
        <v>0.00</v>
      </c>
      <c r="N60" s="38"/>
      <c r="O60" s="22">
        <v>0.49</v>
      </c>
      <c r="P60" s="22">
        <v>18.510999999999999</v>
      </c>
      <c r="Q60" s="30">
        <v>2.5</v>
      </c>
    </row>
    <row r="61" spans="1:17" x14ac:dyDescent="0.25">
      <c r="A61" s="44" t="s">
        <v>120</v>
      </c>
      <c r="B61" s="24"/>
      <c r="D61" s="26">
        <f t="shared" si="8"/>
        <v>0</v>
      </c>
      <c r="E61" s="26">
        <f t="shared" si="6"/>
        <v>0</v>
      </c>
      <c r="F61" s="53" t="str">
        <f t="shared" ref="F61:F64" si="11">IF(OR(ISBLANK(B61),$I$55&lt;0.16),"0.00",(B61-D61)/E61)</f>
        <v>0.00</v>
      </c>
      <c r="H61" s="44" t="s">
        <v>120</v>
      </c>
      <c r="I61" s="24"/>
      <c r="J61" s="4"/>
      <c r="K61" s="26">
        <f t="shared" si="9"/>
        <v>0</v>
      </c>
      <c r="L61" s="26">
        <f t="shared" si="10"/>
        <v>0</v>
      </c>
      <c r="M61" s="53" t="str">
        <f t="shared" si="7"/>
        <v>0.00</v>
      </c>
      <c r="N61" s="38"/>
      <c r="O61" s="22">
        <v>0.65</v>
      </c>
      <c r="P61" s="22">
        <v>14.352</v>
      </c>
      <c r="Q61" s="30">
        <v>2.4540000000000002</v>
      </c>
    </row>
    <row r="62" spans="1:17" x14ac:dyDescent="0.25">
      <c r="A62" s="44" t="s">
        <v>121</v>
      </c>
      <c r="B62" s="24"/>
      <c r="D62" s="26">
        <f t="shared" si="8"/>
        <v>0</v>
      </c>
      <c r="E62" s="26">
        <f t="shared" si="6"/>
        <v>0</v>
      </c>
      <c r="F62" s="53" t="str">
        <f t="shared" si="11"/>
        <v>0.00</v>
      </c>
      <c r="H62" s="44" t="s">
        <v>121</v>
      </c>
      <c r="I62" s="24"/>
      <c r="J62" s="4"/>
      <c r="K62" s="26">
        <f t="shared" si="9"/>
        <v>0</v>
      </c>
      <c r="L62" s="26">
        <f t="shared" si="10"/>
        <v>0</v>
      </c>
      <c r="M62" s="53" t="str">
        <f t="shared" si="7"/>
        <v>0.00</v>
      </c>
      <c r="N62" s="38"/>
      <c r="O62" s="22">
        <v>0.66</v>
      </c>
      <c r="P62" s="22">
        <v>12.791</v>
      </c>
      <c r="Q62" s="30">
        <v>2.2879999999999998</v>
      </c>
    </row>
    <row r="63" spans="1:17" x14ac:dyDescent="0.25">
      <c r="A63" s="44" t="s">
        <v>122</v>
      </c>
      <c r="B63" s="24"/>
      <c r="D63" s="26">
        <f t="shared" si="8"/>
        <v>0</v>
      </c>
      <c r="E63" s="26">
        <f t="shared" si="6"/>
        <v>0</v>
      </c>
      <c r="F63" s="53" t="str">
        <f t="shared" si="11"/>
        <v>0.00</v>
      </c>
      <c r="H63" s="44" t="s">
        <v>122</v>
      </c>
      <c r="I63" s="24"/>
      <c r="J63" s="4"/>
      <c r="K63" s="26">
        <f t="shared" si="9"/>
        <v>0</v>
      </c>
      <c r="L63" s="26">
        <f t="shared" si="10"/>
        <v>0</v>
      </c>
      <c r="M63" s="53" t="str">
        <f t="shared" si="7"/>
        <v>0.00</v>
      </c>
      <c r="N63" s="38"/>
      <c r="O63" s="22">
        <v>0.62</v>
      </c>
      <c r="P63" s="22">
        <v>14.667</v>
      </c>
      <c r="Q63" s="30">
        <v>2.556</v>
      </c>
    </row>
    <row r="64" spans="1:17" x14ac:dyDescent="0.25">
      <c r="A64" s="45" t="s">
        <v>123</v>
      </c>
      <c r="B64" s="35"/>
      <c r="C64" s="36"/>
      <c r="D64" s="27">
        <f t="shared" si="8"/>
        <v>0</v>
      </c>
      <c r="E64" s="27">
        <f t="shared" si="6"/>
        <v>0</v>
      </c>
      <c r="F64" s="54" t="str">
        <f t="shared" si="11"/>
        <v>0.00</v>
      </c>
      <c r="G64" s="37"/>
      <c r="H64" s="45" t="s">
        <v>123</v>
      </c>
      <c r="I64" s="35"/>
      <c r="J64" s="36"/>
      <c r="K64" s="27">
        <f t="shared" si="9"/>
        <v>0</v>
      </c>
      <c r="L64" s="27">
        <f t="shared" si="10"/>
        <v>0</v>
      </c>
      <c r="M64" s="54" t="str">
        <f t="shared" si="7"/>
        <v>0.00</v>
      </c>
      <c r="N64" s="38"/>
      <c r="O64" s="31">
        <v>0.62</v>
      </c>
      <c r="P64" s="31">
        <v>12.282999999999999</v>
      </c>
      <c r="Q64" s="32">
        <v>2.617</v>
      </c>
    </row>
    <row r="65" spans="1:17" x14ac:dyDescent="0.25">
      <c r="E65"/>
      <c r="F65" s="39"/>
      <c r="G65" s="37"/>
      <c r="N65" s="37"/>
    </row>
    <row r="66" spans="1:17" x14ac:dyDescent="0.25">
      <c r="A66" s="51" t="s">
        <v>7</v>
      </c>
      <c r="B66" s="28" t="s">
        <v>111</v>
      </c>
      <c r="C66" s="28"/>
      <c r="D66" s="28" t="s">
        <v>112</v>
      </c>
      <c r="E66" s="28" t="s">
        <v>113</v>
      </c>
      <c r="F66" s="33" t="s">
        <v>114</v>
      </c>
      <c r="G66" s="38"/>
      <c r="H66" s="51" t="s">
        <v>7</v>
      </c>
      <c r="I66" s="28" t="s">
        <v>111</v>
      </c>
      <c r="J66" s="28"/>
      <c r="K66" s="28" t="s">
        <v>112</v>
      </c>
      <c r="L66" s="28" t="s">
        <v>113</v>
      </c>
      <c r="M66" s="33" t="s">
        <v>114</v>
      </c>
      <c r="N66" s="38"/>
      <c r="O66" s="28" t="s">
        <v>115</v>
      </c>
      <c r="P66" s="28" t="s">
        <v>116</v>
      </c>
      <c r="Q66" s="29" t="s">
        <v>117</v>
      </c>
    </row>
    <row r="67" spans="1:17" x14ac:dyDescent="0.25">
      <c r="A67" s="44" t="s">
        <v>118</v>
      </c>
      <c r="B67" s="24"/>
      <c r="D67" s="26">
        <f t="shared" ref="D67:D72" si="12">POWER($I$55, O67)*P67</f>
        <v>0</v>
      </c>
      <c r="E67" s="26">
        <f t="shared" ref="E67:E72" si="13">POWER($I$55,O67)*Q67</f>
        <v>0</v>
      </c>
      <c r="F67" s="52" t="str">
        <f t="shared" ref="F67:F72" si="14">IF(OR(ISBLANK(B67),$I$55&lt;0.16),"0.00",(B67-D67)/E67)</f>
        <v>0.00</v>
      </c>
      <c r="H67" s="44" t="s">
        <v>118</v>
      </c>
      <c r="I67" s="24"/>
      <c r="J67" s="4"/>
      <c r="K67" s="26">
        <f>POWER($I$55, O67)*P67</f>
        <v>0</v>
      </c>
      <c r="L67" s="26">
        <f>POWER($I$55,O67)*Q67</f>
        <v>0</v>
      </c>
      <c r="M67" s="52" t="str">
        <f t="shared" ref="M67:M72" si="15">IF(OR(ISBLANK(I67),$I$55&lt;0.16),"0.00",(I67-K67)/L67)</f>
        <v>0.00</v>
      </c>
      <c r="N67" s="38"/>
      <c r="O67" s="22">
        <v>0.52</v>
      </c>
      <c r="P67" s="22">
        <v>18.137</v>
      </c>
      <c r="Q67" s="30">
        <v>2.4329999999999998</v>
      </c>
    </row>
    <row r="68" spans="1:17" x14ac:dyDescent="0.25">
      <c r="A68" s="44" t="s">
        <v>119</v>
      </c>
      <c r="B68" s="24"/>
      <c r="D68" s="26">
        <f t="shared" si="12"/>
        <v>0</v>
      </c>
      <c r="E68" s="26">
        <f t="shared" si="13"/>
        <v>0</v>
      </c>
      <c r="F68" s="53" t="str">
        <f t="shared" si="14"/>
        <v>0.00</v>
      </c>
      <c r="H68" s="44" t="s">
        <v>119</v>
      </c>
      <c r="I68" s="24"/>
      <c r="J68" s="4"/>
      <c r="K68" s="26">
        <f t="shared" ref="K68:K72" si="16">POWER($I$55, O68)*P68</f>
        <v>0</v>
      </c>
      <c r="L68" s="26">
        <f t="shared" ref="L68:L72" si="17">POWER($I$55,O68)*Q68</f>
        <v>0</v>
      </c>
      <c r="M68" s="53" t="str">
        <f t="shared" si="15"/>
        <v>0.00</v>
      </c>
      <c r="N68" s="38"/>
      <c r="O68" s="22">
        <v>0.51</v>
      </c>
      <c r="P68" s="22">
        <v>16.187999999999999</v>
      </c>
      <c r="Q68" s="30">
        <v>2.1640000000000001</v>
      </c>
    </row>
    <row r="69" spans="1:17" x14ac:dyDescent="0.25">
      <c r="A69" s="44" t="s">
        <v>120</v>
      </c>
      <c r="B69" s="24"/>
      <c r="D69" s="26">
        <f t="shared" si="12"/>
        <v>0</v>
      </c>
      <c r="E69" s="26">
        <f t="shared" si="13"/>
        <v>0</v>
      </c>
      <c r="F69" s="53" t="str">
        <f t="shared" si="14"/>
        <v>0.00</v>
      </c>
      <c r="H69" s="44" t="s">
        <v>120</v>
      </c>
      <c r="I69" s="24"/>
      <c r="J69" s="4"/>
      <c r="K69" s="26">
        <f t="shared" si="16"/>
        <v>0</v>
      </c>
      <c r="L69" s="26">
        <f t="shared" si="17"/>
        <v>0</v>
      </c>
      <c r="M69" s="53" t="str">
        <f t="shared" si="15"/>
        <v>0.00</v>
      </c>
      <c r="N69" s="38"/>
      <c r="O69" s="22">
        <v>0.56999999999999995</v>
      </c>
      <c r="P69" s="22">
        <v>13.125</v>
      </c>
      <c r="Q69" s="30">
        <v>2.3119999999999998</v>
      </c>
    </row>
    <row r="70" spans="1:17" x14ac:dyDescent="0.25">
      <c r="A70" s="44" t="s">
        <v>121</v>
      </c>
      <c r="B70" s="24"/>
      <c r="D70" s="26">
        <f t="shared" si="12"/>
        <v>0</v>
      </c>
      <c r="E70" s="26">
        <f t="shared" si="13"/>
        <v>0</v>
      </c>
      <c r="F70" s="53" t="str">
        <f t="shared" si="14"/>
        <v>0.00</v>
      </c>
      <c r="H70" s="44" t="s">
        <v>121</v>
      </c>
      <c r="I70" s="24"/>
      <c r="J70" s="4"/>
      <c r="K70" s="26">
        <f t="shared" si="16"/>
        <v>0</v>
      </c>
      <c r="L70" s="26">
        <f t="shared" si="17"/>
        <v>0</v>
      </c>
      <c r="M70" s="53" t="str">
        <f t="shared" si="15"/>
        <v>0.00</v>
      </c>
      <c r="N70" s="38"/>
      <c r="O70" s="22">
        <v>0.6</v>
      </c>
      <c r="P70" s="22">
        <v>11.302</v>
      </c>
      <c r="Q70" s="30">
        <v>2.2050000000000001</v>
      </c>
    </row>
    <row r="71" spans="1:17" x14ac:dyDescent="0.25">
      <c r="A71" s="44" t="s">
        <v>122</v>
      </c>
      <c r="B71" s="24"/>
      <c r="D71" s="26">
        <f t="shared" si="12"/>
        <v>0</v>
      </c>
      <c r="E71" s="26">
        <f t="shared" si="13"/>
        <v>0</v>
      </c>
      <c r="F71" s="53" t="str">
        <f t="shared" si="14"/>
        <v>0.00</v>
      </c>
      <c r="H71" s="44" t="s">
        <v>122</v>
      </c>
      <c r="I71" s="24"/>
      <c r="J71" s="4"/>
      <c r="K71" s="26">
        <f t="shared" si="16"/>
        <v>0</v>
      </c>
      <c r="L71" s="26">
        <f t="shared" si="17"/>
        <v>0</v>
      </c>
      <c r="M71" s="53" t="str">
        <f t="shared" si="15"/>
        <v>0.00</v>
      </c>
      <c r="N71" s="38"/>
      <c r="O71" s="22">
        <v>0.55000000000000004</v>
      </c>
      <c r="P71" s="22">
        <v>13.323</v>
      </c>
      <c r="Q71" s="30">
        <v>2.3039999999999998</v>
      </c>
    </row>
    <row r="72" spans="1:17" x14ac:dyDescent="0.25">
      <c r="A72" s="45" t="s">
        <v>123</v>
      </c>
      <c r="B72" s="35"/>
      <c r="C72" s="36"/>
      <c r="D72" s="27">
        <f t="shared" si="12"/>
        <v>0</v>
      </c>
      <c r="E72" s="27">
        <f t="shared" si="13"/>
        <v>0</v>
      </c>
      <c r="F72" s="55" t="str">
        <f t="shared" si="14"/>
        <v>0.00</v>
      </c>
      <c r="G72" s="38"/>
      <c r="H72" s="46" t="s">
        <v>123</v>
      </c>
      <c r="I72" s="35"/>
      <c r="J72" s="36"/>
      <c r="K72" s="27">
        <f t="shared" si="16"/>
        <v>0</v>
      </c>
      <c r="L72" s="27">
        <f t="shared" si="17"/>
        <v>0</v>
      </c>
      <c r="M72" s="55" t="str">
        <f t="shared" si="15"/>
        <v>0.00</v>
      </c>
      <c r="N72" s="38"/>
      <c r="O72" s="31">
        <v>0.55000000000000004</v>
      </c>
      <c r="P72" s="31">
        <v>11.101000000000001</v>
      </c>
      <c r="Q72" s="32">
        <v>2.0649999999999999</v>
      </c>
    </row>
    <row r="73" spans="1:17" x14ac:dyDescent="0.25">
      <c r="C73"/>
      <c r="E73"/>
    </row>
    <row r="74" spans="1:17" x14ac:dyDescent="0.25">
      <c r="B74" s="23" t="s">
        <v>227</v>
      </c>
      <c r="E74"/>
    </row>
    <row r="75" spans="1:17" x14ac:dyDescent="0.25">
      <c r="B75" s="23" t="s">
        <v>124</v>
      </c>
      <c r="E75"/>
    </row>
    <row r="76" spans="1:17" x14ac:dyDescent="0.25">
      <c r="B76" s="23" t="s">
        <v>125</v>
      </c>
      <c r="E76"/>
    </row>
    <row r="77" spans="1:17" x14ac:dyDescent="0.25">
      <c r="A77" s="1"/>
      <c r="C77"/>
      <c r="E77"/>
    </row>
    <row r="78" spans="1:17" x14ac:dyDescent="0.25">
      <c r="A78" s="1" t="s">
        <v>126</v>
      </c>
      <c r="C78" s="25"/>
      <c r="E78"/>
    </row>
    <row r="79" spans="1:17" ht="82.5" customHeight="1" x14ac:dyDescent="0.25">
      <c r="A79" s="88" t="s">
        <v>127</v>
      </c>
      <c r="B79" s="88"/>
      <c r="C79" s="88"/>
      <c r="D79" s="88"/>
      <c r="E79" s="88"/>
      <c r="F79" s="88"/>
      <c r="G79" s="88"/>
      <c r="H79" s="88"/>
      <c r="I79" s="88"/>
    </row>
    <row r="80" spans="1:17" x14ac:dyDescent="0.25">
      <c r="C80"/>
      <c r="E80"/>
    </row>
    <row r="81" spans="3:5" x14ac:dyDescent="0.25">
      <c r="C81"/>
      <c r="E81"/>
    </row>
    <row r="82" spans="3:5" x14ac:dyDescent="0.25">
      <c r="C82"/>
      <c r="E82"/>
    </row>
  </sheetData>
  <protectedRanges>
    <protectedRange algorithmName="SHA-512" hashValue="3AwBLu8w9pbgl8anqCydUDmVeLAC7NhGDaPk9Z2RdL8gJVL4SfJ/Ghv6o41vOgBRyZR8CJ/Ab0G0Ni1mCRAtRQ==" saltValue="VN7CuVJCuveZMcjxhgyvlw==" spinCount="100000" sqref="B1 B3 B5 B7 B9 B11 B13 D13 E11 E9 I11 I5 I3 I1 B67:B72 I67:I72 I59:I64 B35:B42 B59:B64 B18:B31" name="Range1" securityDescriptor="O:WDG:WDD:(A;;CC;;;S-1-5-21-2127521184-237458241-1550075991-43141)(A;;CC;;;S-1-5-21-2127521184-237458241-1550075991-256189)(A;;CC;;;S-1-5-21-2127521184-237458241-1550075991-143346)(A;;CC;;;S-1-5-21-2127521184-237458241-1550075991-227684)(A;;CC;;;S-1-5-21-2127521184-237458241-1550075991-108490)"/>
  </protectedRanges>
  <dataConsolidate/>
  <mergeCells count="7">
    <mergeCell ref="A52:I52"/>
    <mergeCell ref="A79:I79"/>
    <mergeCell ref="B1:D1"/>
    <mergeCell ref="B5:C5"/>
    <mergeCell ref="I5:K5"/>
    <mergeCell ref="A15:Q15"/>
    <mergeCell ref="A53:Q5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ModLink">
                <anchor moveWithCells="1" sizeWithCells="1">
                  <from>
                    <xdr:col>10</xdr:col>
                    <xdr:colOff>152400</xdr:colOff>
                    <xdr:row>74</xdr:row>
                    <xdr:rowOff>95250</xdr:rowOff>
                  </from>
                  <to>
                    <xdr:col>15</xdr:col>
                    <xdr:colOff>419100</xdr:colOff>
                    <xdr:row>78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3FA63A-1709-4336-ABC7-2D49E971F7DE}">
          <x14:formula1>
            <xm:f>Static!$A$20:$A$21</xm:f>
          </x14:formula1>
          <xm:sqref>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18AEB-16E5-4DE1-920B-EC6FFF8F17C4}">
  <sheetPr codeName="Sheet5"/>
  <dimension ref="B2:N177"/>
  <sheetViews>
    <sheetView zoomScale="85" zoomScaleNormal="85" workbookViewId="0">
      <selection activeCell="J25" sqref="J25"/>
    </sheetView>
  </sheetViews>
  <sheetFormatPr defaultRowHeight="15" x14ac:dyDescent="0.25"/>
  <cols>
    <col min="3" max="3" width="13.140625" bestFit="1" customWidth="1"/>
    <col min="4" max="4" width="26.28515625" bestFit="1" customWidth="1"/>
    <col min="6" max="6" width="17.42578125" customWidth="1"/>
    <col min="7" max="7" width="16.140625" customWidth="1"/>
    <col min="8" max="9" width="17" bestFit="1" customWidth="1"/>
    <col min="10" max="10" width="36.7109375" bestFit="1" customWidth="1"/>
    <col min="11" max="11" width="17" bestFit="1" customWidth="1"/>
    <col min="12" max="12" width="17.42578125" bestFit="1" customWidth="1"/>
    <col min="13" max="13" width="13.28515625" customWidth="1"/>
    <col min="14" max="14" width="17" bestFit="1" customWidth="1"/>
    <col min="17" max="17" width="10.28515625" bestFit="1" customWidth="1"/>
    <col min="18" max="18" width="7.42578125" bestFit="1" customWidth="1"/>
    <col min="19" max="19" width="3.85546875" bestFit="1" customWidth="1"/>
    <col min="20" max="20" width="7.42578125" bestFit="1" customWidth="1"/>
    <col min="21" max="21" width="15.28515625" bestFit="1" customWidth="1"/>
    <col min="22" max="22" width="7.42578125" bestFit="1" customWidth="1"/>
    <col min="23" max="23" width="3.85546875" bestFit="1" customWidth="1"/>
    <col min="24" max="24" width="2" bestFit="1" customWidth="1"/>
    <col min="25" max="25" width="7.42578125" bestFit="1" customWidth="1"/>
  </cols>
  <sheetData>
    <row r="2" spans="2:14" x14ac:dyDescent="0.25">
      <c r="B2" t="s">
        <v>43</v>
      </c>
      <c r="C2" s="9" t="s">
        <v>44</v>
      </c>
      <c r="D2" s="9" t="s">
        <v>37</v>
      </c>
      <c r="F2" t="s">
        <v>72</v>
      </c>
    </row>
    <row r="3" spans="2:14" x14ac:dyDescent="0.25">
      <c r="C3" s="9" t="s">
        <v>45</v>
      </c>
      <c r="D3" s="9" t="s">
        <v>38</v>
      </c>
    </row>
    <row r="4" spans="2:14" x14ac:dyDescent="0.25">
      <c r="C4" s="9" t="s">
        <v>46</v>
      </c>
      <c r="D4" s="9" t="s">
        <v>39</v>
      </c>
      <c r="F4" t="s">
        <v>73</v>
      </c>
      <c r="G4" t="s">
        <v>74</v>
      </c>
      <c r="H4" t="s">
        <v>75</v>
      </c>
      <c r="I4" t="s">
        <v>76</v>
      </c>
      <c r="J4" t="s">
        <v>78</v>
      </c>
      <c r="K4" t="s">
        <v>79</v>
      </c>
      <c r="L4" t="s">
        <v>80</v>
      </c>
      <c r="M4" t="s">
        <v>77</v>
      </c>
      <c r="N4" t="s">
        <v>81</v>
      </c>
    </row>
    <row r="5" spans="2:14" x14ac:dyDescent="0.25">
      <c r="B5" t="s">
        <v>47</v>
      </c>
      <c r="C5" s="9" t="s">
        <v>33</v>
      </c>
      <c r="D5" s="9" t="s">
        <v>31</v>
      </c>
      <c r="F5" s="9" t="s">
        <v>35</v>
      </c>
      <c r="G5" s="9" t="s">
        <v>82</v>
      </c>
      <c r="H5" s="9" t="s">
        <v>84</v>
      </c>
      <c r="I5" s="9" t="s">
        <v>82</v>
      </c>
      <c r="J5">
        <f>'Z Value Calculator'!B9</f>
        <v>0</v>
      </c>
      <c r="K5" s="9" t="s">
        <v>86</v>
      </c>
      <c r="L5" s="9" t="s">
        <v>41</v>
      </c>
      <c r="M5">
        <v>1.4</v>
      </c>
      <c r="N5" s="9" t="s">
        <v>86</v>
      </c>
    </row>
    <row r="6" spans="2:14" x14ac:dyDescent="0.25">
      <c r="C6" s="9" t="s">
        <v>34</v>
      </c>
      <c r="D6" s="9" t="s">
        <v>42</v>
      </c>
      <c r="F6" s="9" t="str">
        <f>F5</f>
        <v>CONTAINS</v>
      </c>
      <c r="G6" s="9" t="s">
        <v>83</v>
      </c>
      <c r="H6" s="9" t="s">
        <v>85</v>
      </c>
      <c r="I6" s="9" t="s">
        <v>83</v>
      </c>
      <c r="J6">
        <f>'Z Value Calculator'!E9</f>
        <v>0</v>
      </c>
      <c r="K6" s="9" t="s">
        <v>87</v>
      </c>
      <c r="L6" s="9" t="str">
        <f>L5</f>
        <v>UCUM</v>
      </c>
      <c r="M6">
        <f>M5</f>
        <v>1.4</v>
      </c>
      <c r="N6" s="9" t="s">
        <v>87</v>
      </c>
    </row>
    <row r="7" spans="2:14" x14ac:dyDescent="0.25">
      <c r="C7" s="9" t="s">
        <v>48</v>
      </c>
      <c r="D7" s="9" t="s">
        <v>40</v>
      </c>
      <c r="F7" s="9" t="str">
        <f t="shared" ref="F7:F9" si="0">F6</f>
        <v>CONTAINS</v>
      </c>
      <c r="G7" s="9" t="s">
        <v>91</v>
      </c>
      <c r="H7" s="9" t="s">
        <v>91</v>
      </c>
      <c r="I7" s="9" t="s">
        <v>91</v>
      </c>
      <c r="J7" s="3">
        <f>ROUND('Z Value Calculator'!I9,2)</f>
        <v>0</v>
      </c>
      <c r="K7" s="9" t="s">
        <v>92</v>
      </c>
      <c r="L7" s="9" t="str">
        <f t="shared" ref="L7:L10" si="1">L6</f>
        <v>UCUM</v>
      </c>
      <c r="M7">
        <f t="shared" ref="M7:M10" si="2">M6</f>
        <v>1.4</v>
      </c>
      <c r="N7" s="9" t="s">
        <v>92</v>
      </c>
    </row>
    <row r="8" spans="2:14" x14ac:dyDescent="0.25">
      <c r="C8" s="9" t="s">
        <v>49</v>
      </c>
      <c r="D8">
        <v>2069872136</v>
      </c>
      <c r="F8" s="9" t="str">
        <f t="shared" si="0"/>
        <v>CONTAINS</v>
      </c>
      <c r="G8" t="s">
        <v>93</v>
      </c>
      <c r="H8" t="s">
        <v>94</v>
      </c>
      <c r="I8" t="s">
        <v>95</v>
      </c>
      <c r="J8" s="11">
        <f>'Z Value Calculator'!I11</f>
        <v>0</v>
      </c>
      <c r="K8" t="s">
        <v>96</v>
      </c>
      <c r="L8" s="9" t="str">
        <f t="shared" si="1"/>
        <v>UCUM</v>
      </c>
      <c r="M8">
        <f t="shared" si="2"/>
        <v>1.4</v>
      </c>
      <c r="N8" t="s">
        <v>96</v>
      </c>
    </row>
    <row r="9" spans="2:14" x14ac:dyDescent="0.25">
      <c r="C9" s="9" t="s">
        <v>50</v>
      </c>
      <c r="D9" s="9">
        <v>1</v>
      </c>
      <c r="F9" s="9" t="str">
        <f t="shared" si="0"/>
        <v>CONTAINS</v>
      </c>
      <c r="G9" t="s">
        <v>97</v>
      </c>
      <c r="H9" t="s">
        <v>98</v>
      </c>
      <c r="I9" t="s">
        <v>99</v>
      </c>
      <c r="J9" s="11">
        <f>'Z Value Calculator'!B13</f>
        <v>0</v>
      </c>
      <c r="K9" t="s">
        <v>100</v>
      </c>
      <c r="L9" s="9" t="str">
        <f t="shared" si="1"/>
        <v>UCUM</v>
      </c>
      <c r="M9">
        <f t="shared" si="2"/>
        <v>1.4</v>
      </c>
      <c r="N9" t="s">
        <v>100</v>
      </c>
    </row>
    <row r="10" spans="2:14" x14ac:dyDescent="0.25">
      <c r="B10" t="s">
        <v>51</v>
      </c>
      <c r="C10" s="9" t="s">
        <v>52</v>
      </c>
      <c r="D10">
        <f>'Z Value Calculator'!B3</f>
        <v>0</v>
      </c>
      <c r="F10" s="9" t="s">
        <v>35</v>
      </c>
      <c r="G10" t="s">
        <v>226</v>
      </c>
      <c r="H10" t="s">
        <v>226</v>
      </c>
      <c r="I10" t="s">
        <v>226</v>
      </c>
      <c r="J10" s="3">
        <f>ROUND('Z Value Calculator'!I55,2)</f>
        <v>0</v>
      </c>
      <c r="K10" s="9" t="s">
        <v>92</v>
      </c>
      <c r="L10" s="9" t="str">
        <f t="shared" si="1"/>
        <v>UCUM</v>
      </c>
      <c r="M10">
        <f t="shared" si="2"/>
        <v>1.4</v>
      </c>
      <c r="N10" s="9" t="s">
        <v>92</v>
      </c>
    </row>
    <row r="11" spans="2:14" x14ac:dyDescent="0.25">
      <c r="B11" t="s">
        <v>53</v>
      </c>
      <c r="C11" s="9" t="s">
        <v>54</v>
      </c>
      <c r="D11" s="12">
        <f>'Z Value Calculator'!B7</f>
        <v>0</v>
      </c>
      <c r="F11" s="9"/>
      <c r="J11" s="11"/>
      <c r="L11" s="9"/>
    </row>
    <row r="12" spans="2:14" x14ac:dyDescent="0.25">
      <c r="C12" s="9" t="s">
        <v>55</v>
      </c>
      <c r="D12" s="13"/>
      <c r="J12" s="11"/>
      <c r="L12" s="9"/>
    </row>
    <row r="13" spans="2:14" x14ac:dyDescent="0.25">
      <c r="C13" s="9" t="s">
        <v>56</v>
      </c>
      <c r="D13" s="9">
        <f>'Z Value Calculator'!B5</f>
        <v>0</v>
      </c>
      <c r="F13" s="9"/>
      <c r="J13" s="11"/>
      <c r="L13" s="9"/>
    </row>
    <row r="14" spans="2:14" x14ac:dyDescent="0.25">
      <c r="C14" s="9" t="s">
        <v>57</v>
      </c>
      <c r="D14" s="9" t="s">
        <v>301</v>
      </c>
      <c r="F14" s="9"/>
      <c r="J14" s="11"/>
      <c r="L14" s="9"/>
    </row>
    <row r="15" spans="2:14" x14ac:dyDescent="0.25">
      <c r="B15" t="s">
        <v>58</v>
      </c>
      <c r="C15" s="9" t="s">
        <v>59</v>
      </c>
      <c r="D15">
        <v>999</v>
      </c>
      <c r="F15" t="s">
        <v>89</v>
      </c>
    </row>
    <row r="16" spans="2:14" x14ac:dyDescent="0.25">
      <c r="C16" s="9" t="s">
        <v>54</v>
      </c>
      <c r="D16" s="12">
        <f ca="1">TODAY()</f>
        <v>46101</v>
      </c>
    </row>
    <row r="17" spans="2:14" x14ac:dyDescent="0.25">
      <c r="C17" s="9" t="s">
        <v>55</v>
      </c>
      <c r="D17" s="13">
        <f ca="1">NOW()</f>
        <v>46101.684076041667</v>
      </c>
      <c r="F17" s="15" t="s">
        <v>73</v>
      </c>
      <c r="G17" s="15" t="s">
        <v>74</v>
      </c>
      <c r="H17" s="15" t="s">
        <v>75</v>
      </c>
      <c r="I17" s="15" t="s">
        <v>76</v>
      </c>
      <c r="J17" s="1" t="s">
        <v>78</v>
      </c>
      <c r="K17" s="15" t="s">
        <v>79</v>
      </c>
      <c r="L17" s="15" t="s">
        <v>80</v>
      </c>
      <c r="M17" s="1" t="s">
        <v>77</v>
      </c>
      <c r="N17" s="15" t="s">
        <v>81</v>
      </c>
    </row>
    <row r="18" spans="2:14" x14ac:dyDescent="0.25">
      <c r="C18" s="9" t="s">
        <v>57</v>
      </c>
      <c r="D18" s="9" t="s">
        <v>71</v>
      </c>
      <c r="F18" s="9" t="s">
        <v>35</v>
      </c>
      <c r="G18" s="9" t="s">
        <v>88</v>
      </c>
      <c r="H18" s="9" t="s">
        <v>88</v>
      </c>
      <c r="I18" s="9" t="s">
        <v>88</v>
      </c>
      <c r="J18">
        <f>'Z Value Calculator'!B11</f>
        <v>0</v>
      </c>
      <c r="K18" s="9" t="s">
        <v>88</v>
      </c>
      <c r="L18" s="9" t="s">
        <v>88</v>
      </c>
      <c r="M18">
        <v>1</v>
      </c>
      <c r="N18" s="9" t="s">
        <v>88</v>
      </c>
    </row>
    <row r="19" spans="2:14" x14ac:dyDescent="0.25">
      <c r="B19" t="s">
        <v>60</v>
      </c>
      <c r="C19" s="9" t="s">
        <v>59</v>
      </c>
      <c r="D19">
        <v>1</v>
      </c>
      <c r="F19" s="9" t="s">
        <v>35</v>
      </c>
      <c r="G19" s="9" t="s">
        <v>90</v>
      </c>
      <c r="H19" s="9" t="s">
        <v>90</v>
      </c>
      <c r="I19" s="9" t="s">
        <v>90</v>
      </c>
      <c r="J19" t="str">
        <f>_xlfn.CONCAT('Z Value Calculator'!E11," gauge")</f>
        <v xml:space="preserve"> gauge</v>
      </c>
      <c r="K19" s="9" t="s">
        <v>90</v>
      </c>
      <c r="L19" s="9" t="s">
        <v>90</v>
      </c>
      <c r="M19">
        <v>1</v>
      </c>
      <c r="N19" s="9" t="s">
        <v>90</v>
      </c>
    </row>
    <row r="20" spans="2:14" x14ac:dyDescent="0.25">
      <c r="B20" t="s">
        <v>61</v>
      </c>
      <c r="C20" s="9"/>
      <c r="F20" s="9" t="s">
        <v>35</v>
      </c>
      <c r="G20" s="9" t="s">
        <v>101</v>
      </c>
      <c r="H20" s="9" t="s">
        <v>101</v>
      </c>
      <c r="I20" s="9" t="s">
        <v>101</v>
      </c>
      <c r="J20" t="str">
        <f>'Z Value Calculator'!D13</f>
        <v>Optiray 320</v>
      </c>
      <c r="K20" s="9" t="s">
        <v>101</v>
      </c>
      <c r="L20" s="9" t="s">
        <v>101</v>
      </c>
      <c r="M20">
        <v>1</v>
      </c>
      <c r="N20" s="9" t="s">
        <v>101</v>
      </c>
    </row>
    <row r="21" spans="2:14" x14ac:dyDescent="0.25">
      <c r="B21" t="s">
        <v>62</v>
      </c>
      <c r="F21" s="9" t="s">
        <v>35</v>
      </c>
      <c r="G21" s="9" t="s">
        <v>102</v>
      </c>
      <c r="H21" s="9" t="s">
        <v>102</v>
      </c>
      <c r="I21" s="9" t="s">
        <v>102</v>
      </c>
      <c r="J21" t="str">
        <f>IF('Z Value Calculator'!I3="","n/a",'Z Value Calculator'!I3)</f>
        <v>n/a</v>
      </c>
      <c r="K21" s="9" t="s">
        <v>102</v>
      </c>
      <c r="L21" s="9" t="s">
        <v>102</v>
      </c>
      <c r="M21">
        <v>1</v>
      </c>
      <c r="N21" s="9" t="s">
        <v>102</v>
      </c>
    </row>
    <row r="22" spans="2:14" x14ac:dyDescent="0.25">
      <c r="B22" t="s">
        <v>63</v>
      </c>
      <c r="C22" s="9" t="s">
        <v>64</v>
      </c>
      <c r="D22" s="9" t="s">
        <v>32</v>
      </c>
      <c r="F22" s="9" t="s">
        <v>35</v>
      </c>
      <c r="G22" t="s">
        <v>246</v>
      </c>
      <c r="H22" t="s">
        <v>246</v>
      </c>
      <c r="I22" t="s">
        <v>246</v>
      </c>
      <c r="J22" s="3" t="str">
        <f>IF(ROUND('Z Value Calculator'!B18,2)=0,"-",ROUND('Z Value Calculator'!B18,2))</f>
        <v>-</v>
      </c>
      <c r="K22" t="s">
        <v>246</v>
      </c>
      <c r="L22" t="s">
        <v>246</v>
      </c>
      <c r="M22">
        <v>1</v>
      </c>
      <c r="N22" t="s">
        <v>246</v>
      </c>
    </row>
    <row r="23" spans="2:14" x14ac:dyDescent="0.25">
      <c r="B23" t="s">
        <v>65</v>
      </c>
      <c r="C23" s="9" t="s">
        <v>66</v>
      </c>
      <c r="D23">
        <v>125100</v>
      </c>
      <c r="F23" s="9" t="s">
        <v>35</v>
      </c>
      <c r="G23" t="s">
        <v>247</v>
      </c>
      <c r="H23" t="s">
        <v>247</v>
      </c>
      <c r="I23" t="s">
        <v>247</v>
      </c>
      <c r="J23" s="3" t="str">
        <f>IF(ROUND('Z Value Calculator'!B19,2)=0,"-",ROUND('Z Value Calculator'!B19,2))</f>
        <v>-</v>
      </c>
      <c r="K23" t="s">
        <v>247</v>
      </c>
      <c r="L23" t="s">
        <v>247</v>
      </c>
      <c r="M23">
        <v>1</v>
      </c>
      <c r="N23" t="s">
        <v>247</v>
      </c>
    </row>
    <row r="24" spans="2:14" x14ac:dyDescent="0.25">
      <c r="C24" s="9" t="s">
        <v>67</v>
      </c>
      <c r="D24" s="9" t="s">
        <v>36</v>
      </c>
      <c r="F24" s="9" t="s">
        <v>35</v>
      </c>
      <c r="G24" t="s">
        <v>248</v>
      </c>
      <c r="H24" t="s">
        <v>248</v>
      </c>
      <c r="I24" t="s">
        <v>248</v>
      </c>
      <c r="J24" s="3" t="str">
        <f>IF(ROUND('Z Value Calculator'!B20,2)=0,"-",ROUND('Z Value Calculator'!B20,2))</f>
        <v>-</v>
      </c>
      <c r="K24" t="s">
        <v>248</v>
      </c>
      <c r="L24" t="s">
        <v>248</v>
      </c>
      <c r="M24">
        <v>1</v>
      </c>
      <c r="N24" t="s">
        <v>248</v>
      </c>
    </row>
    <row r="25" spans="2:14" x14ac:dyDescent="0.25">
      <c r="C25" s="9" t="s">
        <v>68</v>
      </c>
      <c r="D25" s="9" t="s">
        <v>129</v>
      </c>
      <c r="F25" s="9" t="s">
        <v>35</v>
      </c>
      <c r="G25" t="s">
        <v>244</v>
      </c>
      <c r="H25" t="s">
        <v>244</v>
      </c>
      <c r="I25" t="s">
        <v>244</v>
      </c>
      <c r="J25" s="3" t="str">
        <f>IF(ROUND('Z Value Calculator'!B21,2)=0,"-",ROUND('Z Value Calculator'!B21,2))</f>
        <v>-</v>
      </c>
      <c r="K25" t="s">
        <v>244</v>
      </c>
      <c r="L25" t="s">
        <v>244</v>
      </c>
      <c r="M25">
        <v>1</v>
      </c>
      <c r="N25" t="s">
        <v>244</v>
      </c>
    </row>
    <row r="26" spans="2:14" x14ac:dyDescent="0.25">
      <c r="B26" t="s">
        <v>63</v>
      </c>
      <c r="C26" s="9" t="s">
        <v>64</v>
      </c>
      <c r="D26" s="9" t="s">
        <v>32</v>
      </c>
      <c r="F26" s="9" t="s">
        <v>35</v>
      </c>
      <c r="G26" t="s">
        <v>245</v>
      </c>
      <c r="H26" t="s">
        <v>245</v>
      </c>
      <c r="I26" t="s">
        <v>245</v>
      </c>
      <c r="J26" s="3" t="str">
        <f>IF(ROUND('Z Value Calculator'!B22,2)=0,"-",ROUND('Z Value Calculator'!B22,2))</f>
        <v>-</v>
      </c>
      <c r="K26" t="s">
        <v>245</v>
      </c>
      <c r="L26" t="s">
        <v>245</v>
      </c>
      <c r="M26">
        <v>1</v>
      </c>
      <c r="N26" t="s">
        <v>245</v>
      </c>
    </row>
    <row r="27" spans="2:14" x14ac:dyDescent="0.25">
      <c r="C27" s="9" t="s">
        <v>69</v>
      </c>
      <c r="D27" s="9" t="s">
        <v>35</v>
      </c>
      <c r="F27" s="9" t="s">
        <v>35</v>
      </c>
      <c r="G27" t="s">
        <v>249</v>
      </c>
      <c r="H27" t="s">
        <v>249</v>
      </c>
      <c r="I27" t="s">
        <v>249</v>
      </c>
      <c r="J27" s="3" t="str">
        <f>IF(ROUND('Z Value Calculator'!B23,2)=0,"-",ROUND('Z Value Calculator'!B23,2))</f>
        <v>-</v>
      </c>
      <c r="K27" t="s">
        <v>249</v>
      </c>
      <c r="L27" t="s">
        <v>249</v>
      </c>
      <c r="M27">
        <v>1</v>
      </c>
      <c r="N27" t="s">
        <v>249</v>
      </c>
    </row>
    <row r="28" spans="2:14" x14ac:dyDescent="0.25">
      <c r="B28" t="s">
        <v>65</v>
      </c>
      <c r="C28" s="9" t="s">
        <v>66</v>
      </c>
      <c r="D28" s="9">
        <v>125100</v>
      </c>
      <c r="F28" s="9" t="s">
        <v>35</v>
      </c>
      <c r="G28" t="s">
        <v>250</v>
      </c>
      <c r="H28" t="s">
        <v>250</v>
      </c>
      <c r="I28" t="s">
        <v>250</v>
      </c>
      <c r="J28" s="3" t="str">
        <f>IF(ROUND('Z Value Calculator'!B24,2)=0,"-",ROUND('Z Value Calculator'!B24,2))</f>
        <v>-</v>
      </c>
      <c r="K28" t="s">
        <v>250</v>
      </c>
      <c r="L28" t="s">
        <v>250</v>
      </c>
      <c r="M28">
        <v>1</v>
      </c>
      <c r="N28" t="s">
        <v>250</v>
      </c>
    </row>
    <row r="29" spans="2:14" x14ac:dyDescent="0.25">
      <c r="C29" s="9" t="s">
        <v>67</v>
      </c>
      <c r="D29" s="9" t="s">
        <v>36</v>
      </c>
      <c r="F29" s="9" t="s">
        <v>35</v>
      </c>
      <c r="G29" t="s">
        <v>251</v>
      </c>
      <c r="H29" t="s">
        <v>251</v>
      </c>
      <c r="I29" t="s">
        <v>251</v>
      </c>
      <c r="J29" s="3" t="str">
        <f>IF(ROUND('Z Value Calculator'!B25,2)=0,"-",ROUND('Z Value Calculator'!B25,2))</f>
        <v>-</v>
      </c>
      <c r="K29" t="s">
        <v>251</v>
      </c>
      <c r="L29" t="s">
        <v>251</v>
      </c>
      <c r="M29">
        <v>1</v>
      </c>
      <c r="N29" t="s">
        <v>251</v>
      </c>
    </row>
    <row r="30" spans="2:14" x14ac:dyDescent="0.25">
      <c r="C30" s="9" t="s">
        <v>68</v>
      </c>
      <c r="D30" s="9" t="s">
        <v>228</v>
      </c>
      <c r="F30" s="9" t="s">
        <v>35</v>
      </c>
      <c r="G30" s="9" t="s">
        <v>304</v>
      </c>
      <c r="H30" s="9" t="s">
        <v>304</v>
      </c>
      <c r="I30" s="9" t="s">
        <v>304</v>
      </c>
      <c r="J30" s="3" t="str">
        <f>IF(ROUND('Z Value Calculator'!B26,2)=0,"-",ROUND('Z Value Calculator'!B26,2))</f>
        <v>-</v>
      </c>
      <c r="K30" s="9" t="s">
        <v>304</v>
      </c>
      <c r="L30" s="9" t="s">
        <v>304</v>
      </c>
      <c r="M30">
        <v>1</v>
      </c>
      <c r="N30" s="9" t="s">
        <v>304</v>
      </c>
    </row>
    <row r="31" spans="2:14" x14ac:dyDescent="0.25">
      <c r="F31" s="9" t="s">
        <v>35</v>
      </c>
      <c r="G31" t="s">
        <v>252</v>
      </c>
      <c r="H31" t="s">
        <v>252</v>
      </c>
      <c r="I31" t="s">
        <v>252</v>
      </c>
      <c r="J31" s="3" t="str">
        <f>IF(ROUND('Z Value Calculator'!B27,2)=0,"-",ROUND('Z Value Calculator'!B27,2))</f>
        <v>-</v>
      </c>
      <c r="K31" t="s">
        <v>252</v>
      </c>
      <c r="L31" t="s">
        <v>252</v>
      </c>
      <c r="M31">
        <v>1</v>
      </c>
      <c r="N31" t="s">
        <v>252</v>
      </c>
    </row>
    <row r="32" spans="2:14" x14ac:dyDescent="0.25">
      <c r="F32" s="9" t="s">
        <v>35</v>
      </c>
      <c r="G32" t="s">
        <v>253</v>
      </c>
      <c r="H32" t="s">
        <v>253</v>
      </c>
      <c r="I32" t="s">
        <v>253</v>
      </c>
      <c r="J32" s="3" t="str">
        <f>IF(ROUND('Z Value Calculator'!B28,2)=0,"-",ROUND('Z Value Calculator'!B28,2))</f>
        <v>-</v>
      </c>
      <c r="K32" t="s">
        <v>253</v>
      </c>
      <c r="L32" t="s">
        <v>253</v>
      </c>
      <c r="M32">
        <v>1</v>
      </c>
      <c r="N32" t="s">
        <v>253</v>
      </c>
    </row>
    <row r="33" spans="6:14" x14ac:dyDescent="0.25">
      <c r="F33" s="9" t="s">
        <v>35</v>
      </c>
      <c r="G33" t="s">
        <v>254</v>
      </c>
      <c r="H33" t="s">
        <v>254</v>
      </c>
      <c r="I33" t="s">
        <v>254</v>
      </c>
      <c r="J33" s="3" t="str">
        <f>IF(ROUND('Z Value Calculator'!B29,2)=0,"-",ROUND('Z Value Calculator'!B29,2))</f>
        <v>-</v>
      </c>
      <c r="K33" t="s">
        <v>254</v>
      </c>
      <c r="L33" t="s">
        <v>254</v>
      </c>
      <c r="M33">
        <v>1</v>
      </c>
      <c r="N33" t="s">
        <v>254</v>
      </c>
    </row>
    <row r="34" spans="6:14" x14ac:dyDescent="0.25">
      <c r="F34" s="9" t="s">
        <v>35</v>
      </c>
      <c r="G34" t="s">
        <v>255</v>
      </c>
      <c r="H34" t="s">
        <v>255</v>
      </c>
      <c r="I34" t="s">
        <v>255</v>
      </c>
      <c r="J34" s="3" t="str">
        <f>IF(ROUND('Z Value Calculator'!B30,2)=0,"-",ROUND('Z Value Calculator'!B30,2))</f>
        <v>-</v>
      </c>
      <c r="K34" t="s">
        <v>255</v>
      </c>
      <c r="L34" t="s">
        <v>255</v>
      </c>
      <c r="M34">
        <v>1</v>
      </c>
      <c r="N34" t="s">
        <v>255</v>
      </c>
    </row>
    <row r="35" spans="6:14" x14ac:dyDescent="0.25">
      <c r="F35" s="9" t="s">
        <v>35</v>
      </c>
      <c r="G35" t="s">
        <v>256</v>
      </c>
      <c r="H35" t="s">
        <v>256</v>
      </c>
      <c r="I35" t="s">
        <v>256</v>
      </c>
      <c r="J35" s="3" t="str">
        <f>IF(ROUND('Z Value Calculator'!B31,2)=0,"-",ROUND('Z Value Calculator'!B31,2))</f>
        <v>-</v>
      </c>
      <c r="K35" t="s">
        <v>256</v>
      </c>
      <c r="L35" t="s">
        <v>256</v>
      </c>
      <c r="M35">
        <v>1</v>
      </c>
      <c r="N35" t="s">
        <v>256</v>
      </c>
    </row>
    <row r="36" spans="6:14" x14ac:dyDescent="0.25">
      <c r="F36" s="9" t="s">
        <v>35</v>
      </c>
      <c r="G36" t="s">
        <v>257</v>
      </c>
      <c r="H36" t="s">
        <v>257</v>
      </c>
      <c r="I36" t="s">
        <v>257</v>
      </c>
      <c r="J36" s="3" t="str">
        <f>IF(ROUND('Z Value Calculator'!B32,2)=0,"-",ROUND('Z Value Calculator'!B32,2))</f>
        <v>-</v>
      </c>
      <c r="K36" t="s">
        <v>257</v>
      </c>
      <c r="L36" t="s">
        <v>257</v>
      </c>
      <c r="M36">
        <v>1</v>
      </c>
      <c r="N36" t="s">
        <v>257</v>
      </c>
    </row>
    <row r="37" spans="6:14" x14ac:dyDescent="0.25">
      <c r="F37" s="9" t="s">
        <v>35</v>
      </c>
      <c r="G37" t="s">
        <v>273</v>
      </c>
      <c r="H37" t="s">
        <v>273</v>
      </c>
      <c r="I37" t="s">
        <v>273</v>
      </c>
      <c r="J37" s="3" t="str">
        <f>IF(ROUND('Z Value Calculator'!E18,2)=0,"-",ROUND('Z Value Calculator'!E18,2))</f>
        <v>-</v>
      </c>
      <c r="K37" t="s">
        <v>273</v>
      </c>
      <c r="L37" t="s">
        <v>273</v>
      </c>
      <c r="M37">
        <v>1</v>
      </c>
      <c r="N37" t="s">
        <v>273</v>
      </c>
    </row>
    <row r="38" spans="6:14" x14ac:dyDescent="0.25">
      <c r="F38" s="9" t="s">
        <v>35</v>
      </c>
      <c r="G38" t="s">
        <v>274</v>
      </c>
      <c r="H38" t="s">
        <v>274</v>
      </c>
      <c r="I38" t="s">
        <v>274</v>
      </c>
      <c r="J38" s="3" t="str">
        <f>IF(ROUND('Z Value Calculator'!E19,2)=0,"-",ROUND('Z Value Calculator'!E19,2))</f>
        <v>-</v>
      </c>
      <c r="K38" t="s">
        <v>274</v>
      </c>
      <c r="L38" t="s">
        <v>274</v>
      </c>
      <c r="M38">
        <v>1</v>
      </c>
      <c r="N38" t="s">
        <v>274</v>
      </c>
    </row>
    <row r="39" spans="6:14" x14ac:dyDescent="0.25">
      <c r="F39" s="9" t="s">
        <v>35</v>
      </c>
      <c r="G39" t="s">
        <v>275</v>
      </c>
      <c r="H39" t="s">
        <v>275</v>
      </c>
      <c r="I39" t="s">
        <v>275</v>
      </c>
      <c r="J39" s="3" t="str">
        <f>IF(ROUND('Z Value Calculator'!E20,2)=0,"-",ROUND('Z Value Calculator'!E20,2))</f>
        <v>-</v>
      </c>
      <c r="K39" t="s">
        <v>275</v>
      </c>
      <c r="L39" t="s">
        <v>275</v>
      </c>
      <c r="M39">
        <v>1</v>
      </c>
      <c r="N39" t="s">
        <v>275</v>
      </c>
    </row>
    <row r="40" spans="6:14" x14ac:dyDescent="0.25">
      <c r="F40" s="9" t="s">
        <v>35</v>
      </c>
      <c r="G40" t="s">
        <v>276</v>
      </c>
      <c r="H40" t="s">
        <v>276</v>
      </c>
      <c r="I40" t="s">
        <v>276</v>
      </c>
      <c r="J40" s="3" t="str">
        <f>IF(ROUND('Z Value Calculator'!E21,2)=0,"-",ROUND('Z Value Calculator'!E21,2))</f>
        <v>-</v>
      </c>
      <c r="K40" t="s">
        <v>276</v>
      </c>
      <c r="L40" t="s">
        <v>276</v>
      </c>
      <c r="M40">
        <v>1</v>
      </c>
      <c r="N40" t="s">
        <v>276</v>
      </c>
    </row>
    <row r="41" spans="6:14" x14ac:dyDescent="0.25">
      <c r="F41" s="9" t="s">
        <v>35</v>
      </c>
      <c r="G41" t="s">
        <v>277</v>
      </c>
      <c r="H41" t="s">
        <v>277</v>
      </c>
      <c r="I41" t="s">
        <v>277</v>
      </c>
      <c r="J41" s="3" t="str">
        <f>IF(ROUND('Z Value Calculator'!E22,2)=0,"-",ROUND('Z Value Calculator'!E22,2))</f>
        <v>-</v>
      </c>
      <c r="K41" t="s">
        <v>277</v>
      </c>
      <c r="L41" t="s">
        <v>277</v>
      </c>
      <c r="M41">
        <v>1</v>
      </c>
      <c r="N41" t="s">
        <v>277</v>
      </c>
    </row>
    <row r="42" spans="6:14" x14ac:dyDescent="0.25">
      <c r="F42" s="9" t="s">
        <v>35</v>
      </c>
      <c r="G42" t="s">
        <v>278</v>
      </c>
      <c r="H42" t="s">
        <v>278</v>
      </c>
      <c r="I42" t="s">
        <v>278</v>
      </c>
      <c r="J42" s="3" t="str">
        <f>IF(ROUND('Z Value Calculator'!E23,2)=0,"-",ROUND('Z Value Calculator'!E23,2))</f>
        <v>-</v>
      </c>
      <c r="K42" t="s">
        <v>278</v>
      </c>
      <c r="L42" t="s">
        <v>278</v>
      </c>
      <c r="M42">
        <v>1</v>
      </c>
      <c r="N42" t="s">
        <v>278</v>
      </c>
    </row>
    <row r="43" spans="6:14" x14ac:dyDescent="0.25">
      <c r="F43" s="9" t="s">
        <v>35</v>
      </c>
      <c r="G43" t="s">
        <v>279</v>
      </c>
      <c r="H43" t="s">
        <v>279</v>
      </c>
      <c r="I43" t="s">
        <v>279</v>
      </c>
      <c r="J43" s="3" t="str">
        <f>IF(ROUND('Z Value Calculator'!E24,2)=0,"-",ROUND('Z Value Calculator'!E24,2))</f>
        <v>-</v>
      </c>
      <c r="K43" t="s">
        <v>279</v>
      </c>
      <c r="L43" t="s">
        <v>279</v>
      </c>
      <c r="M43">
        <v>1</v>
      </c>
      <c r="N43" t="s">
        <v>279</v>
      </c>
    </row>
    <row r="44" spans="6:14" x14ac:dyDescent="0.25">
      <c r="F44" s="9" t="s">
        <v>35</v>
      </c>
      <c r="G44" t="s">
        <v>280</v>
      </c>
      <c r="H44" t="s">
        <v>280</v>
      </c>
      <c r="I44" t="s">
        <v>280</v>
      </c>
      <c r="J44" s="3" t="str">
        <f>IF(ROUND('Z Value Calculator'!E25,2)=0,"-",ROUND('Z Value Calculator'!E25,2))</f>
        <v>-</v>
      </c>
      <c r="K44" t="s">
        <v>280</v>
      </c>
      <c r="L44" t="s">
        <v>280</v>
      </c>
      <c r="M44">
        <v>1</v>
      </c>
      <c r="N44" t="s">
        <v>280</v>
      </c>
    </row>
    <row r="45" spans="6:14" x14ac:dyDescent="0.25">
      <c r="F45" s="9" t="s">
        <v>35</v>
      </c>
      <c r="G45" s="9" t="s">
        <v>303</v>
      </c>
      <c r="H45" s="9" t="s">
        <v>303</v>
      </c>
      <c r="I45" s="9" t="s">
        <v>303</v>
      </c>
      <c r="J45" s="3" t="str">
        <f>IF(ROUND('Z Value Calculator'!E26,2)=0,"-",ROUND('Z Value Calculator'!E26,2))</f>
        <v>-</v>
      </c>
      <c r="K45" s="9" t="s">
        <v>303</v>
      </c>
      <c r="L45" s="9" t="s">
        <v>303</v>
      </c>
      <c r="M45">
        <v>1</v>
      </c>
      <c r="N45" s="9" t="s">
        <v>303</v>
      </c>
    </row>
    <row r="46" spans="6:14" x14ac:dyDescent="0.25">
      <c r="F46" s="9" t="s">
        <v>35</v>
      </c>
      <c r="G46" t="s">
        <v>281</v>
      </c>
      <c r="H46" t="s">
        <v>281</v>
      </c>
      <c r="I46" t="s">
        <v>281</v>
      </c>
      <c r="J46" s="3" t="str">
        <f>IF(ROUND('Z Value Calculator'!E27,2)=0,"-",ROUND('Z Value Calculator'!E27,2))</f>
        <v>-</v>
      </c>
      <c r="K46" t="s">
        <v>281</v>
      </c>
      <c r="L46" t="s">
        <v>281</v>
      </c>
      <c r="M46">
        <v>1</v>
      </c>
      <c r="N46" t="s">
        <v>281</v>
      </c>
    </row>
    <row r="47" spans="6:14" x14ac:dyDescent="0.25">
      <c r="F47" s="9" t="s">
        <v>35</v>
      </c>
      <c r="G47" t="s">
        <v>282</v>
      </c>
      <c r="H47" t="s">
        <v>282</v>
      </c>
      <c r="I47" t="s">
        <v>282</v>
      </c>
      <c r="J47" s="3" t="str">
        <f>IF(ROUND('Z Value Calculator'!E28,2)=0,"-",ROUND('Z Value Calculator'!E28,2))</f>
        <v>-</v>
      </c>
      <c r="K47" t="s">
        <v>282</v>
      </c>
      <c r="L47" t="s">
        <v>282</v>
      </c>
      <c r="M47">
        <v>1</v>
      </c>
      <c r="N47" t="s">
        <v>282</v>
      </c>
    </row>
    <row r="48" spans="6:14" x14ac:dyDescent="0.25">
      <c r="F48" s="9" t="s">
        <v>35</v>
      </c>
      <c r="G48" t="s">
        <v>283</v>
      </c>
      <c r="H48" t="s">
        <v>283</v>
      </c>
      <c r="I48" t="s">
        <v>283</v>
      </c>
      <c r="J48" s="3" t="str">
        <f>IF(ROUND('Z Value Calculator'!E29,2)=0,"-",ROUND('Z Value Calculator'!E29,2))</f>
        <v>-</v>
      </c>
      <c r="K48" t="s">
        <v>283</v>
      </c>
      <c r="L48" t="s">
        <v>283</v>
      </c>
      <c r="M48">
        <v>1</v>
      </c>
      <c r="N48" t="s">
        <v>283</v>
      </c>
    </row>
    <row r="49" spans="6:14" x14ac:dyDescent="0.25">
      <c r="F49" s="9" t="s">
        <v>35</v>
      </c>
      <c r="G49" t="s">
        <v>284</v>
      </c>
      <c r="H49" t="s">
        <v>284</v>
      </c>
      <c r="I49" t="s">
        <v>284</v>
      </c>
      <c r="J49" s="3" t="str">
        <f>IF(ROUND('Z Value Calculator'!E30,2)=0,"-",ROUND('Z Value Calculator'!E30,2))</f>
        <v>-</v>
      </c>
      <c r="K49" t="s">
        <v>284</v>
      </c>
      <c r="L49" t="s">
        <v>284</v>
      </c>
      <c r="M49">
        <v>1</v>
      </c>
      <c r="N49" t="s">
        <v>284</v>
      </c>
    </row>
    <row r="50" spans="6:14" x14ac:dyDescent="0.25">
      <c r="F50" s="9" t="s">
        <v>35</v>
      </c>
      <c r="G50" t="s">
        <v>285</v>
      </c>
      <c r="H50" t="s">
        <v>285</v>
      </c>
      <c r="I50" t="s">
        <v>285</v>
      </c>
      <c r="J50" s="3" t="str">
        <f>IF(ROUND('Z Value Calculator'!E31,2)=0,"-",ROUND('Z Value Calculator'!E31,2))</f>
        <v>-</v>
      </c>
      <c r="K50" t="s">
        <v>285</v>
      </c>
      <c r="L50" t="s">
        <v>285</v>
      </c>
      <c r="M50">
        <v>1</v>
      </c>
      <c r="N50" t="s">
        <v>285</v>
      </c>
    </row>
    <row r="51" spans="6:14" x14ac:dyDescent="0.25">
      <c r="F51" s="9" t="s">
        <v>35</v>
      </c>
      <c r="G51" t="s">
        <v>286</v>
      </c>
      <c r="H51" t="s">
        <v>286</v>
      </c>
      <c r="I51" t="s">
        <v>286</v>
      </c>
      <c r="J51" s="3" t="str">
        <f>IF(ROUND('Z Value Calculator'!E32,2)=0,"-",ROUND('Z Value Calculator'!E32,2))</f>
        <v>-</v>
      </c>
      <c r="K51" t="s">
        <v>286</v>
      </c>
      <c r="L51" t="s">
        <v>286</v>
      </c>
      <c r="M51">
        <v>1</v>
      </c>
      <c r="N51" t="s">
        <v>286</v>
      </c>
    </row>
    <row r="52" spans="6:14" x14ac:dyDescent="0.25">
      <c r="F52" s="9" t="s">
        <v>35</v>
      </c>
      <c r="G52" t="s">
        <v>258</v>
      </c>
      <c r="H52" t="s">
        <v>258</v>
      </c>
      <c r="I52" t="s">
        <v>258</v>
      </c>
      <c r="J52" s="3" t="str">
        <f>IF(ROUND('Z Value Calculator'!B35,2)=0,"-",ROUND('Z Value Calculator'!B35,2))</f>
        <v>-</v>
      </c>
      <c r="K52" t="s">
        <v>258</v>
      </c>
      <c r="L52" t="s">
        <v>258</v>
      </c>
      <c r="M52">
        <v>1</v>
      </c>
      <c r="N52" t="s">
        <v>258</v>
      </c>
    </row>
    <row r="53" spans="6:14" x14ac:dyDescent="0.25">
      <c r="F53" s="9" t="s">
        <v>35</v>
      </c>
      <c r="G53" t="s">
        <v>259</v>
      </c>
      <c r="H53" t="s">
        <v>259</v>
      </c>
      <c r="I53" t="s">
        <v>259</v>
      </c>
      <c r="J53" s="3" t="str">
        <f>IF(ROUND('Z Value Calculator'!B36,2)=0,"-",ROUND('Z Value Calculator'!B36,2))</f>
        <v>-</v>
      </c>
      <c r="K53" t="s">
        <v>259</v>
      </c>
      <c r="L53" t="s">
        <v>259</v>
      </c>
      <c r="M53">
        <v>1</v>
      </c>
      <c r="N53" t="s">
        <v>259</v>
      </c>
    </row>
    <row r="54" spans="6:14" x14ac:dyDescent="0.25">
      <c r="F54" s="9" t="s">
        <v>35</v>
      </c>
      <c r="G54" t="s">
        <v>260</v>
      </c>
      <c r="H54" t="s">
        <v>260</v>
      </c>
      <c r="I54" t="s">
        <v>260</v>
      </c>
      <c r="J54" s="3" t="str">
        <f>IF(ROUND('Z Value Calculator'!B37,2)=0,"-",ROUND('Z Value Calculator'!B37,2))</f>
        <v>-</v>
      </c>
      <c r="K54" t="s">
        <v>260</v>
      </c>
      <c r="L54" t="s">
        <v>260</v>
      </c>
      <c r="M54">
        <v>1</v>
      </c>
      <c r="N54" t="s">
        <v>260</v>
      </c>
    </row>
    <row r="55" spans="6:14" x14ac:dyDescent="0.25">
      <c r="F55" s="9" t="s">
        <v>35</v>
      </c>
      <c r="G55" t="s">
        <v>261</v>
      </c>
      <c r="H55" t="s">
        <v>261</v>
      </c>
      <c r="I55" t="s">
        <v>261</v>
      </c>
      <c r="J55" s="3" t="str">
        <f>IF(ROUND('Z Value Calculator'!B38,2)=0,"-",ROUND('Z Value Calculator'!B38,2))</f>
        <v>-</v>
      </c>
      <c r="K55" t="s">
        <v>261</v>
      </c>
      <c r="L55" t="s">
        <v>261</v>
      </c>
      <c r="M55">
        <v>1</v>
      </c>
      <c r="N55" t="s">
        <v>261</v>
      </c>
    </row>
    <row r="56" spans="6:14" x14ac:dyDescent="0.25">
      <c r="F56" s="9" t="s">
        <v>35</v>
      </c>
      <c r="G56" t="s">
        <v>262</v>
      </c>
      <c r="H56" t="s">
        <v>262</v>
      </c>
      <c r="I56" t="s">
        <v>262</v>
      </c>
      <c r="J56" s="3" t="str">
        <f>IF(ROUND('Z Value Calculator'!B39,2)=0,"-",ROUND('Z Value Calculator'!B39,2))</f>
        <v>-</v>
      </c>
      <c r="K56" t="s">
        <v>262</v>
      </c>
      <c r="L56" t="s">
        <v>262</v>
      </c>
      <c r="M56">
        <v>1</v>
      </c>
      <c r="N56" t="s">
        <v>262</v>
      </c>
    </row>
    <row r="57" spans="6:14" x14ac:dyDescent="0.25">
      <c r="F57" s="9" t="s">
        <v>35</v>
      </c>
      <c r="G57" t="s">
        <v>263</v>
      </c>
      <c r="H57" t="s">
        <v>263</v>
      </c>
      <c r="I57" t="s">
        <v>263</v>
      </c>
      <c r="J57" s="3" t="str">
        <f>IF(ROUND('Z Value Calculator'!B40,2)=0,"-",ROUND('Z Value Calculator'!B40,2))</f>
        <v>-</v>
      </c>
      <c r="K57" t="s">
        <v>263</v>
      </c>
      <c r="L57" t="s">
        <v>263</v>
      </c>
      <c r="M57">
        <v>1</v>
      </c>
      <c r="N57" t="s">
        <v>263</v>
      </c>
    </row>
    <row r="58" spans="6:14" x14ac:dyDescent="0.25">
      <c r="F58" s="9" t="s">
        <v>35</v>
      </c>
      <c r="G58" t="s">
        <v>264</v>
      </c>
      <c r="H58" t="s">
        <v>264</v>
      </c>
      <c r="I58" t="s">
        <v>264</v>
      </c>
      <c r="J58" s="3" t="str">
        <f>IF(ROUND('Z Value Calculator'!B41,2)=0,"-",ROUND('Z Value Calculator'!B41,2))</f>
        <v>-</v>
      </c>
      <c r="K58" t="s">
        <v>264</v>
      </c>
      <c r="L58" t="s">
        <v>264</v>
      </c>
      <c r="M58">
        <v>1</v>
      </c>
      <c r="N58" t="s">
        <v>264</v>
      </c>
    </row>
    <row r="59" spans="6:14" x14ac:dyDescent="0.25">
      <c r="F59" s="9" t="s">
        <v>35</v>
      </c>
      <c r="G59" t="s">
        <v>265</v>
      </c>
      <c r="H59" t="s">
        <v>265</v>
      </c>
      <c r="I59" t="s">
        <v>265</v>
      </c>
      <c r="J59" s="3" t="str">
        <f>IF(ROUND('Z Value Calculator'!B42,2)=0,"-",ROUND('Z Value Calculator'!B42,2))</f>
        <v>-</v>
      </c>
      <c r="K59" t="s">
        <v>265</v>
      </c>
      <c r="L59" t="s">
        <v>265</v>
      </c>
      <c r="M59">
        <v>1</v>
      </c>
      <c r="N59" t="s">
        <v>265</v>
      </c>
    </row>
    <row r="60" spans="6:14" x14ac:dyDescent="0.25">
      <c r="F60" s="9" t="s">
        <v>35</v>
      </c>
      <c r="G60" s="9" t="s">
        <v>305</v>
      </c>
      <c r="H60" s="9" t="s">
        <v>305</v>
      </c>
      <c r="I60" s="9" t="s">
        <v>305</v>
      </c>
      <c r="J60" s="3" t="str">
        <f>IF(ROUND('Z Value Calculator'!B43,2)=0,"-",ROUND('Z Value Calculator'!B43,2))</f>
        <v>-</v>
      </c>
      <c r="K60" s="9" t="s">
        <v>305</v>
      </c>
      <c r="L60" s="9" t="s">
        <v>305</v>
      </c>
      <c r="M60">
        <v>1</v>
      </c>
      <c r="N60" s="9"/>
    </row>
    <row r="61" spans="6:14" x14ac:dyDescent="0.25">
      <c r="F61" s="9" t="s">
        <v>35</v>
      </c>
      <c r="G61" t="s">
        <v>266</v>
      </c>
      <c r="H61" t="s">
        <v>266</v>
      </c>
      <c r="I61" t="s">
        <v>266</v>
      </c>
      <c r="J61" s="3" t="str">
        <f>IF(ROUND('Z Value Calculator'!B44,2)=0,"-",ROUND('Z Value Calculator'!B44,2))</f>
        <v>-</v>
      </c>
      <c r="K61" t="s">
        <v>266</v>
      </c>
      <c r="L61" t="s">
        <v>266</v>
      </c>
      <c r="M61">
        <v>1</v>
      </c>
      <c r="N61" t="s">
        <v>266</v>
      </c>
    </row>
    <row r="62" spans="6:14" x14ac:dyDescent="0.25">
      <c r="F62" s="9" t="s">
        <v>35</v>
      </c>
      <c r="G62" t="s">
        <v>267</v>
      </c>
      <c r="H62" t="s">
        <v>267</v>
      </c>
      <c r="I62" t="s">
        <v>267</v>
      </c>
      <c r="J62" s="3" t="str">
        <f>IF(ROUND('Z Value Calculator'!B45,2)=0,"-",ROUND('Z Value Calculator'!B45,2))</f>
        <v>-</v>
      </c>
      <c r="K62" t="s">
        <v>267</v>
      </c>
      <c r="L62" t="s">
        <v>267</v>
      </c>
      <c r="M62">
        <v>1</v>
      </c>
      <c r="N62" t="s">
        <v>267</v>
      </c>
    </row>
    <row r="63" spans="6:14" x14ac:dyDescent="0.25">
      <c r="F63" s="9" t="s">
        <v>35</v>
      </c>
      <c r="G63" t="s">
        <v>268</v>
      </c>
      <c r="H63" t="s">
        <v>268</v>
      </c>
      <c r="I63" t="s">
        <v>268</v>
      </c>
      <c r="J63" s="3" t="str">
        <f>IF(ROUND('Z Value Calculator'!B46,2)=0,"-",ROUND('Z Value Calculator'!B46,2))</f>
        <v>-</v>
      </c>
      <c r="K63" t="s">
        <v>268</v>
      </c>
      <c r="L63" t="s">
        <v>268</v>
      </c>
      <c r="M63">
        <v>1</v>
      </c>
      <c r="N63" t="s">
        <v>268</v>
      </c>
    </row>
    <row r="64" spans="6:14" x14ac:dyDescent="0.25">
      <c r="F64" s="9" t="s">
        <v>35</v>
      </c>
      <c r="G64" t="s">
        <v>269</v>
      </c>
      <c r="H64" t="s">
        <v>269</v>
      </c>
      <c r="I64" t="s">
        <v>269</v>
      </c>
      <c r="J64" s="3" t="str">
        <f>IF(ROUND('Z Value Calculator'!B47,2)=0,"-",ROUND('Z Value Calculator'!B47,2))</f>
        <v>-</v>
      </c>
      <c r="K64" t="s">
        <v>269</v>
      </c>
      <c r="L64" t="s">
        <v>269</v>
      </c>
      <c r="M64">
        <v>1</v>
      </c>
      <c r="N64" t="s">
        <v>269</v>
      </c>
    </row>
    <row r="65" spans="6:14" x14ac:dyDescent="0.25">
      <c r="F65" s="9" t="s">
        <v>35</v>
      </c>
      <c r="G65" t="s">
        <v>270</v>
      </c>
      <c r="H65" t="s">
        <v>270</v>
      </c>
      <c r="I65" t="s">
        <v>270</v>
      </c>
      <c r="J65" s="3" t="str">
        <f>IF(ROUND('Z Value Calculator'!B48,2)=0,"-",ROUND('Z Value Calculator'!B48,2))</f>
        <v>-</v>
      </c>
      <c r="K65" t="s">
        <v>270</v>
      </c>
      <c r="L65" t="s">
        <v>270</v>
      </c>
      <c r="M65">
        <v>1</v>
      </c>
      <c r="N65" t="s">
        <v>270</v>
      </c>
    </row>
    <row r="66" spans="6:14" x14ac:dyDescent="0.25">
      <c r="F66" s="9" t="s">
        <v>35</v>
      </c>
      <c r="G66" t="s">
        <v>271</v>
      </c>
      <c r="H66" t="s">
        <v>271</v>
      </c>
      <c r="I66" t="s">
        <v>271</v>
      </c>
      <c r="J66" s="3" t="str">
        <f>IF(ROUND('Z Value Calculator'!B49,2)=0,"-",ROUND('Z Value Calculator'!B49,2))</f>
        <v>-</v>
      </c>
      <c r="K66" t="s">
        <v>271</v>
      </c>
      <c r="L66" t="s">
        <v>271</v>
      </c>
      <c r="M66">
        <v>1</v>
      </c>
      <c r="N66" t="s">
        <v>271</v>
      </c>
    </row>
    <row r="67" spans="6:14" x14ac:dyDescent="0.25">
      <c r="F67" s="9" t="s">
        <v>35</v>
      </c>
      <c r="G67" t="s">
        <v>287</v>
      </c>
      <c r="H67" t="s">
        <v>287</v>
      </c>
      <c r="I67" t="s">
        <v>287</v>
      </c>
      <c r="J67" s="3" t="str">
        <f>IF(ROUND('Z Value Calculator'!E35,2)=0,"-",ROUND('Z Value Calculator'!E35,2))</f>
        <v>-</v>
      </c>
      <c r="K67" t="s">
        <v>287</v>
      </c>
      <c r="L67" t="s">
        <v>287</v>
      </c>
      <c r="M67">
        <v>1</v>
      </c>
      <c r="N67" t="s">
        <v>287</v>
      </c>
    </row>
    <row r="68" spans="6:14" x14ac:dyDescent="0.25">
      <c r="F68" s="9" t="s">
        <v>35</v>
      </c>
      <c r="G68" t="s">
        <v>288</v>
      </c>
      <c r="H68" t="s">
        <v>288</v>
      </c>
      <c r="I68" t="s">
        <v>288</v>
      </c>
      <c r="J68" s="3" t="str">
        <f>IF(ROUND('Z Value Calculator'!E36,2)=0,"-",ROUND('Z Value Calculator'!E36,2))</f>
        <v>-</v>
      </c>
      <c r="K68" t="s">
        <v>288</v>
      </c>
      <c r="L68" t="s">
        <v>288</v>
      </c>
      <c r="M68">
        <v>1</v>
      </c>
      <c r="N68" t="s">
        <v>288</v>
      </c>
    </row>
    <row r="69" spans="6:14" x14ac:dyDescent="0.25">
      <c r="F69" s="9" t="s">
        <v>35</v>
      </c>
      <c r="G69" t="s">
        <v>289</v>
      </c>
      <c r="H69" t="s">
        <v>289</v>
      </c>
      <c r="I69" t="s">
        <v>289</v>
      </c>
      <c r="J69" s="3" t="str">
        <f>IF(ROUND('Z Value Calculator'!E37,2)=0,"-",ROUND('Z Value Calculator'!E37,2))</f>
        <v>-</v>
      </c>
      <c r="K69" t="s">
        <v>289</v>
      </c>
      <c r="L69" t="s">
        <v>289</v>
      </c>
      <c r="M69">
        <v>1</v>
      </c>
      <c r="N69" t="s">
        <v>289</v>
      </c>
    </row>
    <row r="70" spans="6:14" x14ac:dyDescent="0.25">
      <c r="F70" s="9" t="s">
        <v>35</v>
      </c>
      <c r="G70" t="s">
        <v>290</v>
      </c>
      <c r="H70" t="s">
        <v>290</v>
      </c>
      <c r="I70" t="s">
        <v>290</v>
      </c>
      <c r="J70" s="3" t="str">
        <f>IF(ROUND('Z Value Calculator'!E38,2)=0,"-",ROUND('Z Value Calculator'!E38,2))</f>
        <v>-</v>
      </c>
      <c r="K70" t="s">
        <v>290</v>
      </c>
      <c r="L70" t="s">
        <v>290</v>
      </c>
      <c r="M70">
        <v>1</v>
      </c>
      <c r="N70" t="s">
        <v>290</v>
      </c>
    </row>
    <row r="71" spans="6:14" x14ac:dyDescent="0.25">
      <c r="F71" s="9" t="s">
        <v>35</v>
      </c>
      <c r="G71" t="s">
        <v>291</v>
      </c>
      <c r="H71" t="s">
        <v>291</v>
      </c>
      <c r="I71" t="s">
        <v>291</v>
      </c>
      <c r="J71" s="3" t="str">
        <f>IF(ROUND('Z Value Calculator'!E39,2)=0,"-",ROUND('Z Value Calculator'!E39,2))</f>
        <v>-</v>
      </c>
      <c r="K71" t="s">
        <v>291</v>
      </c>
      <c r="L71" t="s">
        <v>291</v>
      </c>
      <c r="M71">
        <v>1</v>
      </c>
      <c r="N71" t="s">
        <v>291</v>
      </c>
    </row>
    <row r="72" spans="6:14" x14ac:dyDescent="0.25">
      <c r="F72" s="9" t="s">
        <v>35</v>
      </c>
      <c r="G72" t="s">
        <v>292</v>
      </c>
      <c r="H72" t="s">
        <v>292</v>
      </c>
      <c r="I72" t="s">
        <v>292</v>
      </c>
      <c r="J72" s="3" t="str">
        <f>IF(ROUND('Z Value Calculator'!E40,2)=0,"-",ROUND('Z Value Calculator'!E40,2))</f>
        <v>-</v>
      </c>
      <c r="K72" t="s">
        <v>292</v>
      </c>
      <c r="L72" t="s">
        <v>292</v>
      </c>
      <c r="M72">
        <v>1</v>
      </c>
      <c r="N72" t="s">
        <v>292</v>
      </c>
    </row>
    <row r="73" spans="6:14" x14ac:dyDescent="0.25">
      <c r="F73" s="9" t="s">
        <v>35</v>
      </c>
      <c r="G73" t="s">
        <v>293</v>
      </c>
      <c r="H73" t="s">
        <v>293</v>
      </c>
      <c r="I73" t="s">
        <v>293</v>
      </c>
      <c r="J73" s="3" t="str">
        <f>IF(ROUND('Z Value Calculator'!E41,2)=0,"-",ROUND('Z Value Calculator'!E41,2))</f>
        <v>-</v>
      </c>
      <c r="K73" t="s">
        <v>293</v>
      </c>
      <c r="L73" t="s">
        <v>293</v>
      </c>
      <c r="M73">
        <v>1</v>
      </c>
      <c r="N73" t="s">
        <v>293</v>
      </c>
    </row>
    <row r="74" spans="6:14" x14ac:dyDescent="0.25">
      <c r="F74" s="9" t="s">
        <v>35</v>
      </c>
      <c r="G74" t="s">
        <v>294</v>
      </c>
      <c r="H74" t="s">
        <v>294</v>
      </c>
      <c r="I74" t="s">
        <v>294</v>
      </c>
      <c r="J74" s="3" t="str">
        <f>IF(ROUND('Z Value Calculator'!E42,2)=0,"-",ROUND('Z Value Calculator'!E42,2))</f>
        <v>-</v>
      </c>
      <c r="K74" t="s">
        <v>294</v>
      </c>
      <c r="L74" t="s">
        <v>294</v>
      </c>
      <c r="M74">
        <v>1</v>
      </c>
      <c r="N74" t="s">
        <v>294</v>
      </c>
    </row>
    <row r="75" spans="6:14" x14ac:dyDescent="0.25">
      <c r="F75" s="9" t="s">
        <v>35</v>
      </c>
      <c r="G75" s="9" t="s">
        <v>306</v>
      </c>
      <c r="H75" s="9" t="s">
        <v>306</v>
      </c>
      <c r="I75" s="9" t="s">
        <v>306</v>
      </c>
      <c r="J75" s="3" t="str">
        <f>IF(ROUND('Z Value Calculator'!E43,2)=0,"-",ROUND('Z Value Calculator'!E43,2))</f>
        <v>-</v>
      </c>
      <c r="K75" s="9" t="s">
        <v>306</v>
      </c>
      <c r="L75" s="9" t="s">
        <v>306</v>
      </c>
      <c r="M75">
        <v>1</v>
      </c>
      <c r="N75" s="9" t="s">
        <v>306</v>
      </c>
    </row>
    <row r="76" spans="6:14" x14ac:dyDescent="0.25">
      <c r="F76" s="9" t="s">
        <v>35</v>
      </c>
      <c r="G76" t="s">
        <v>295</v>
      </c>
      <c r="H76" t="s">
        <v>295</v>
      </c>
      <c r="I76" t="s">
        <v>295</v>
      </c>
      <c r="J76" s="3" t="str">
        <f>IF(ROUND('Z Value Calculator'!E44,2)=0,"-",ROUND('Z Value Calculator'!E44,2))</f>
        <v>-</v>
      </c>
      <c r="K76" t="s">
        <v>295</v>
      </c>
      <c r="L76" t="s">
        <v>295</v>
      </c>
      <c r="M76">
        <v>1</v>
      </c>
      <c r="N76" t="s">
        <v>295</v>
      </c>
    </row>
    <row r="77" spans="6:14" x14ac:dyDescent="0.25">
      <c r="F77" s="9" t="s">
        <v>35</v>
      </c>
      <c r="G77" t="s">
        <v>296</v>
      </c>
      <c r="H77" t="s">
        <v>296</v>
      </c>
      <c r="I77" t="s">
        <v>296</v>
      </c>
      <c r="J77" s="3" t="str">
        <f>IF(ROUND('Z Value Calculator'!E45,2)=0,"-",ROUND('Z Value Calculator'!E45,2))</f>
        <v>-</v>
      </c>
      <c r="K77" t="s">
        <v>296</v>
      </c>
      <c r="L77" t="s">
        <v>296</v>
      </c>
      <c r="M77">
        <v>1</v>
      </c>
      <c r="N77" t="s">
        <v>296</v>
      </c>
    </row>
    <row r="78" spans="6:14" x14ac:dyDescent="0.25">
      <c r="F78" s="9" t="s">
        <v>35</v>
      </c>
      <c r="G78" t="s">
        <v>297</v>
      </c>
      <c r="H78" t="s">
        <v>297</v>
      </c>
      <c r="I78" t="s">
        <v>297</v>
      </c>
      <c r="J78" s="3" t="str">
        <f>IF(ROUND('Z Value Calculator'!E46,2)=0,"-",ROUND('Z Value Calculator'!E46,2))</f>
        <v>-</v>
      </c>
      <c r="K78" t="s">
        <v>297</v>
      </c>
      <c r="L78" t="s">
        <v>297</v>
      </c>
      <c r="M78">
        <v>1</v>
      </c>
      <c r="N78" t="s">
        <v>297</v>
      </c>
    </row>
    <row r="79" spans="6:14" x14ac:dyDescent="0.25">
      <c r="F79" s="9" t="s">
        <v>35</v>
      </c>
      <c r="G79" t="s">
        <v>298</v>
      </c>
      <c r="H79" t="s">
        <v>298</v>
      </c>
      <c r="I79" t="s">
        <v>298</v>
      </c>
      <c r="J79" s="3" t="str">
        <f>IF(ROUND('Z Value Calculator'!E47,2)=0,"-",ROUND('Z Value Calculator'!E47,2))</f>
        <v>-</v>
      </c>
      <c r="K79" t="s">
        <v>298</v>
      </c>
      <c r="L79" t="s">
        <v>298</v>
      </c>
      <c r="M79">
        <v>1</v>
      </c>
      <c r="N79" t="s">
        <v>298</v>
      </c>
    </row>
    <row r="80" spans="6:14" x14ac:dyDescent="0.25">
      <c r="F80" s="9" t="s">
        <v>35</v>
      </c>
      <c r="G80" t="s">
        <v>299</v>
      </c>
      <c r="H80" t="s">
        <v>299</v>
      </c>
      <c r="I80" t="s">
        <v>299</v>
      </c>
      <c r="J80" s="3" t="str">
        <f>IF(ROUND('Z Value Calculator'!E48,2)=0,"-",ROUND('Z Value Calculator'!E48,2))</f>
        <v>-</v>
      </c>
      <c r="K80" t="s">
        <v>299</v>
      </c>
      <c r="L80" t="s">
        <v>299</v>
      </c>
      <c r="M80">
        <v>1</v>
      </c>
      <c r="N80" t="s">
        <v>299</v>
      </c>
    </row>
    <row r="81" spans="6:14" x14ac:dyDescent="0.25">
      <c r="F81" s="9" t="s">
        <v>35</v>
      </c>
      <c r="G81" t="s">
        <v>300</v>
      </c>
      <c r="H81" t="s">
        <v>300</v>
      </c>
      <c r="I81" t="s">
        <v>300</v>
      </c>
      <c r="J81" s="3" t="str">
        <f>IF(ROUND('Z Value Calculator'!E49,2)=0,"-",ROUND('Z Value Calculator'!E49,2))</f>
        <v>-</v>
      </c>
      <c r="K81" t="s">
        <v>300</v>
      </c>
      <c r="L81" t="s">
        <v>300</v>
      </c>
      <c r="M81">
        <v>1</v>
      </c>
      <c r="N81" t="s">
        <v>300</v>
      </c>
    </row>
    <row r="82" spans="6:14" x14ac:dyDescent="0.25">
      <c r="F82" s="9" t="s">
        <v>35</v>
      </c>
      <c r="G82" s="9" t="s">
        <v>130</v>
      </c>
      <c r="H82" s="9" t="s">
        <v>130</v>
      </c>
      <c r="I82" s="9" t="s">
        <v>130</v>
      </c>
      <c r="J82" t="str">
        <f>IF(ROUND('Z Value Calculator'!B59,2)=0,"-",ROUND('Z Value Calculator'!B59,2))</f>
        <v>-</v>
      </c>
      <c r="K82" s="9" t="s">
        <v>130</v>
      </c>
      <c r="L82" s="9" t="s">
        <v>130</v>
      </c>
      <c r="M82">
        <v>1</v>
      </c>
      <c r="N82" s="9" t="s">
        <v>130</v>
      </c>
    </row>
    <row r="83" spans="6:14" x14ac:dyDescent="0.25">
      <c r="F83" s="9" t="s">
        <v>35</v>
      </c>
      <c r="G83" s="9" t="s">
        <v>131</v>
      </c>
      <c r="H83" s="9" t="s">
        <v>131</v>
      </c>
      <c r="I83" s="9" t="s">
        <v>131</v>
      </c>
      <c r="J83" t="str">
        <f>IF(ROUND('Z Value Calculator'!B60,2)=0,"-",ROUND('Z Value Calculator'!B60,2))</f>
        <v>-</v>
      </c>
      <c r="K83" s="9" t="s">
        <v>131</v>
      </c>
      <c r="L83" s="9" t="s">
        <v>131</v>
      </c>
      <c r="M83">
        <v>1</v>
      </c>
      <c r="N83" s="9" t="s">
        <v>131</v>
      </c>
    </row>
    <row r="84" spans="6:14" x14ac:dyDescent="0.25">
      <c r="F84" s="9" t="s">
        <v>35</v>
      </c>
      <c r="G84" s="9" t="s">
        <v>132</v>
      </c>
      <c r="H84" s="9" t="s">
        <v>132</v>
      </c>
      <c r="I84" s="9" t="s">
        <v>132</v>
      </c>
      <c r="J84" t="str">
        <f>IF(ROUND('Z Value Calculator'!B61,2)=0,"-",ROUND('Z Value Calculator'!B61,2))</f>
        <v>-</v>
      </c>
      <c r="K84" s="9" t="s">
        <v>132</v>
      </c>
      <c r="L84" s="9" t="s">
        <v>132</v>
      </c>
      <c r="M84">
        <v>1</v>
      </c>
      <c r="N84" s="9" t="s">
        <v>132</v>
      </c>
    </row>
    <row r="85" spans="6:14" x14ac:dyDescent="0.25">
      <c r="F85" s="9" t="s">
        <v>35</v>
      </c>
      <c r="G85" s="9" t="s">
        <v>133</v>
      </c>
      <c r="H85" s="9" t="s">
        <v>133</v>
      </c>
      <c r="I85" s="9" t="s">
        <v>133</v>
      </c>
      <c r="J85" t="str">
        <f>IF(ROUND('Z Value Calculator'!B62,2)=0,"-",ROUND('Z Value Calculator'!B62,2))</f>
        <v>-</v>
      </c>
      <c r="K85" s="9" t="s">
        <v>133</v>
      </c>
      <c r="L85" s="9" t="s">
        <v>133</v>
      </c>
      <c r="M85">
        <v>1</v>
      </c>
      <c r="N85" s="9" t="s">
        <v>133</v>
      </c>
    </row>
    <row r="86" spans="6:14" x14ac:dyDescent="0.25">
      <c r="F86" s="9" t="s">
        <v>35</v>
      </c>
      <c r="G86" s="9" t="s">
        <v>134</v>
      </c>
      <c r="H86" s="9" t="s">
        <v>134</v>
      </c>
      <c r="I86" s="9" t="s">
        <v>134</v>
      </c>
      <c r="J86" t="str">
        <f>IF(ROUND('Z Value Calculator'!B63,2)=0,"-",ROUND('Z Value Calculator'!B63,2))</f>
        <v>-</v>
      </c>
      <c r="K86" s="9" t="s">
        <v>134</v>
      </c>
      <c r="L86" s="9" t="s">
        <v>134</v>
      </c>
      <c r="M86">
        <v>1</v>
      </c>
      <c r="N86" s="9" t="s">
        <v>134</v>
      </c>
    </row>
    <row r="87" spans="6:14" x14ac:dyDescent="0.25">
      <c r="F87" s="9" t="s">
        <v>35</v>
      </c>
      <c r="G87" s="9" t="s">
        <v>135</v>
      </c>
      <c r="H87" s="9" t="s">
        <v>135</v>
      </c>
      <c r="I87" s="9" t="s">
        <v>135</v>
      </c>
      <c r="J87" t="str">
        <f>IF(ROUND('Z Value Calculator'!B64,2)=0,"-",ROUND('Z Value Calculator'!B64,2))</f>
        <v>-</v>
      </c>
      <c r="K87" s="9" t="s">
        <v>135</v>
      </c>
      <c r="L87" s="9" t="s">
        <v>135</v>
      </c>
      <c r="M87">
        <v>1</v>
      </c>
      <c r="N87" s="9" t="s">
        <v>135</v>
      </c>
    </row>
    <row r="88" spans="6:14" x14ac:dyDescent="0.25">
      <c r="F88" s="9" t="s">
        <v>35</v>
      </c>
      <c r="G88" s="9" t="s">
        <v>136</v>
      </c>
      <c r="H88" s="9" t="s">
        <v>136</v>
      </c>
      <c r="I88" s="9" t="s">
        <v>136</v>
      </c>
      <c r="J88" t="str">
        <f>IF(ROUND('Z Value Calculator'!B67,2)=0,"-",ROUND('Z Value Calculator'!B67,2))</f>
        <v>-</v>
      </c>
      <c r="K88" s="9" t="s">
        <v>136</v>
      </c>
      <c r="L88" s="9" t="s">
        <v>136</v>
      </c>
      <c r="M88">
        <v>1</v>
      </c>
      <c r="N88" s="9" t="s">
        <v>136</v>
      </c>
    </row>
    <row r="89" spans="6:14" x14ac:dyDescent="0.25">
      <c r="F89" s="9" t="s">
        <v>35</v>
      </c>
      <c r="G89" s="9" t="s">
        <v>137</v>
      </c>
      <c r="H89" s="9" t="s">
        <v>137</v>
      </c>
      <c r="I89" s="9" t="s">
        <v>137</v>
      </c>
      <c r="J89" t="str">
        <f>IF(ROUND('Z Value Calculator'!B68,2)=0,"-",ROUND('Z Value Calculator'!B68,2))</f>
        <v>-</v>
      </c>
      <c r="K89" s="9" t="s">
        <v>137</v>
      </c>
      <c r="L89" s="9" t="s">
        <v>137</v>
      </c>
      <c r="M89">
        <v>1</v>
      </c>
      <c r="N89" s="9" t="s">
        <v>137</v>
      </c>
    </row>
    <row r="90" spans="6:14" x14ac:dyDescent="0.25">
      <c r="F90" s="9" t="s">
        <v>35</v>
      </c>
      <c r="G90" s="9" t="s">
        <v>138</v>
      </c>
      <c r="H90" s="9" t="s">
        <v>138</v>
      </c>
      <c r="I90" s="9" t="s">
        <v>138</v>
      </c>
      <c r="J90" t="str">
        <f>IF(ROUND('Z Value Calculator'!B69,2)=0,"-",ROUND('Z Value Calculator'!B69,2))</f>
        <v>-</v>
      </c>
      <c r="K90" s="9" t="s">
        <v>138</v>
      </c>
      <c r="L90" s="9" t="s">
        <v>138</v>
      </c>
      <c r="M90">
        <v>1</v>
      </c>
      <c r="N90" s="9" t="s">
        <v>138</v>
      </c>
    </row>
    <row r="91" spans="6:14" x14ac:dyDescent="0.25">
      <c r="F91" s="9" t="s">
        <v>35</v>
      </c>
      <c r="G91" s="9" t="s">
        <v>139</v>
      </c>
      <c r="H91" s="9" t="s">
        <v>139</v>
      </c>
      <c r="I91" s="9" t="s">
        <v>139</v>
      </c>
      <c r="J91" t="str">
        <f>IF(ROUND('Z Value Calculator'!B70,2)=0,"-",ROUND('Z Value Calculator'!B70,2))</f>
        <v>-</v>
      </c>
      <c r="K91" s="9" t="s">
        <v>139</v>
      </c>
      <c r="L91" s="9" t="s">
        <v>139</v>
      </c>
      <c r="M91">
        <v>1</v>
      </c>
      <c r="N91" s="9" t="s">
        <v>139</v>
      </c>
    </row>
    <row r="92" spans="6:14" x14ac:dyDescent="0.25">
      <c r="F92" s="9" t="s">
        <v>35</v>
      </c>
      <c r="G92" s="9" t="s">
        <v>140</v>
      </c>
      <c r="H92" s="9" t="s">
        <v>140</v>
      </c>
      <c r="I92" s="9" t="s">
        <v>140</v>
      </c>
      <c r="J92" t="str">
        <f>IF(ROUND('Z Value Calculator'!B71,2)=0,"-",ROUND('Z Value Calculator'!B71,2))</f>
        <v>-</v>
      </c>
      <c r="K92" s="9" t="s">
        <v>140</v>
      </c>
      <c r="L92" s="9" t="s">
        <v>140</v>
      </c>
      <c r="M92">
        <v>1</v>
      </c>
      <c r="N92" s="9" t="s">
        <v>140</v>
      </c>
    </row>
    <row r="93" spans="6:14" x14ac:dyDescent="0.25">
      <c r="F93" s="9" t="s">
        <v>35</v>
      </c>
      <c r="G93" s="9" t="s">
        <v>141</v>
      </c>
      <c r="H93" s="9" t="s">
        <v>141</v>
      </c>
      <c r="I93" s="9" t="s">
        <v>141</v>
      </c>
      <c r="J93" t="str">
        <f>IF(ROUND('Z Value Calculator'!B72,2)=0,"-",ROUND('Z Value Calculator'!B72,2))</f>
        <v>-</v>
      </c>
      <c r="K93" s="9" t="s">
        <v>141</v>
      </c>
      <c r="L93" s="9" t="s">
        <v>141</v>
      </c>
      <c r="M93">
        <v>1</v>
      </c>
      <c r="N93" s="9" t="s">
        <v>141</v>
      </c>
    </row>
    <row r="94" spans="6:14" x14ac:dyDescent="0.25">
      <c r="F94" s="9" t="s">
        <v>35</v>
      </c>
      <c r="G94" s="9" t="s">
        <v>142</v>
      </c>
      <c r="H94" s="9" t="s">
        <v>142</v>
      </c>
      <c r="I94" s="9" t="s">
        <v>142</v>
      </c>
      <c r="J94" t="str">
        <f>IF(ROUND('Z Value Calculator'!D59,1)=0,"-",ROUND('Z Value Calculator'!D59,1))</f>
        <v>-</v>
      </c>
      <c r="K94" s="9" t="s">
        <v>142</v>
      </c>
      <c r="L94" s="9" t="s">
        <v>142</v>
      </c>
      <c r="M94">
        <v>1</v>
      </c>
      <c r="N94" s="9" t="s">
        <v>142</v>
      </c>
    </row>
    <row r="95" spans="6:14" x14ac:dyDescent="0.25">
      <c r="F95" s="9" t="s">
        <v>35</v>
      </c>
      <c r="G95" s="9" t="s">
        <v>143</v>
      </c>
      <c r="H95" s="9" t="s">
        <v>143</v>
      </c>
      <c r="I95" s="9" t="s">
        <v>143</v>
      </c>
      <c r="J95" t="str">
        <f>IF(ROUND('Z Value Calculator'!D60,1)=0,"-",ROUND('Z Value Calculator'!D60,1))</f>
        <v>-</v>
      </c>
      <c r="K95" s="9" t="s">
        <v>143</v>
      </c>
      <c r="L95" s="9" t="s">
        <v>143</v>
      </c>
      <c r="M95">
        <v>1</v>
      </c>
      <c r="N95" s="9" t="s">
        <v>143</v>
      </c>
    </row>
    <row r="96" spans="6:14" x14ac:dyDescent="0.25">
      <c r="F96" s="9" t="s">
        <v>35</v>
      </c>
      <c r="G96" s="9" t="s">
        <v>144</v>
      </c>
      <c r="H96" s="9" t="s">
        <v>144</v>
      </c>
      <c r="I96" s="9" t="s">
        <v>144</v>
      </c>
      <c r="J96" t="str">
        <f>IF(ROUND('Z Value Calculator'!D61,1)=0,"-",ROUND('Z Value Calculator'!D61,1))</f>
        <v>-</v>
      </c>
      <c r="K96" s="9" t="s">
        <v>144</v>
      </c>
      <c r="L96" s="9" t="s">
        <v>144</v>
      </c>
      <c r="M96">
        <v>1</v>
      </c>
      <c r="N96" s="9" t="s">
        <v>144</v>
      </c>
    </row>
    <row r="97" spans="6:14" x14ac:dyDescent="0.25">
      <c r="F97" s="9" t="s">
        <v>35</v>
      </c>
      <c r="G97" s="9" t="s">
        <v>145</v>
      </c>
      <c r="H97" s="9" t="s">
        <v>145</v>
      </c>
      <c r="I97" s="9" t="s">
        <v>145</v>
      </c>
      <c r="J97" t="str">
        <f>IF(ROUND('Z Value Calculator'!D62,1)=0,"-",ROUND('Z Value Calculator'!D62,1))</f>
        <v>-</v>
      </c>
      <c r="K97" s="9" t="s">
        <v>145</v>
      </c>
      <c r="L97" s="9" t="s">
        <v>145</v>
      </c>
      <c r="M97">
        <v>1</v>
      </c>
      <c r="N97" s="9" t="s">
        <v>145</v>
      </c>
    </row>
    <row r="98" spans="6:14" x14ac:dyDescent="0.25">
      <c r="F98" s="9" t="s">
        <v>35</v>
      </c>
      <c r="G98" s="9" t="s">
        <v>146</v>
      </c>
      <c r="H98" s="9" t="s">
        <v>146</v>
      </c>
      <c r="I98" s="9" t="s">
        <v>146</v>
      </c>
      <c r="J98" t="str">
        <f>IF(ROUND('Z Value Calculator'!D63,1)=0,"-",ROUND('Z Value Calculator'!D63,1))</f>
        <v>-</v>
      </c>
      <c r="K98" s="9" t="s">
        <v>146</v>
      </c>
      <c r="L98" s="9" t="s">
        <v>146</v>
      </c>
      <c r="M98">
        <v>1</v>
      </c>
      <c r="N98" s="9" t="s">
        <v>146</v>
      </c>
    </row>
    <row r="99" spans="6:14" x14ac:dyDescent="0.25">
      <c r="F99" s="9" t="s">
        <v>35</v>
      </c>
      <c r="G99" s="9" t="s">
        <v>147</v>
      </c>
      <c r="H99" s="9" t="s">
        <v>147</v>
      </c>
      <c r="I99" s="9" t="s">
        <v>147</v>
      </c>
      <c r="J99" t="str">
        <f>IF(ROUND('Z Value Calculator'!D64,1)=0,"-",ROUND('Z Value Calculator'!D64,1))</f>
        <v>-</v>
      </c>
      <c r="K99" s="9" t="s">
        <v>147</v>
      </c>
      <c r="L99" s="9" t="s">
        <v>147</v>
      </c>
      <c r="M99">
        <v>1</v>
      </c>
      <c r="N99" s="9" t="s">
        <v>147</v>
      </c>
    </row>
    <row r="100" spans="6:14" x14ac:dyDescent="0.25">
      <c r="F100" s="9" t="s">
        <v>35</v>
      </c>
      <c r="G100" s="9" t="s">
        <v>148</v>
      </c>
      <c r="H100" s="9" t="s">
        <v>148</v>
      </c>
      <c r="I100" s="9" t="s">
        <v>148</v>
      </c>
      <c r="J100" t="str">
        <f>IF(ROUND('Z Value Calculator'!D67,1)=0,"-",ROUND('Z Value Calculator'!D67,1))</f>
        <v>-</v>
      </c>
      <c r="K100" s="9" t="s">
        <v>148</v>
      </c>
      <c r="L100" s="9" t="s">
        <v>148</v>
      </c>
      <c r="M100">
        <v>1</v>
      </c>
      <c r="N100" s="9" t="s">
        <v>148</v>
      </c>
    </row>
    <row r="101" spans="6:14" x14ac:dyDescent="0.25">
      <c r="F101" s="9" t="s">
        <v>35</v>
      </c>
      <c r="G101" s="9" t="s">
        <v>149</v>
      </c>
      <c r="H101" s="9" t="s">
        <v>149</v>
      </c>
      <c r="I101" s="9" t="s">
        <v>149</v>
      </c>
      <c r="J101" t="str">
        <f>IF(ROUND('Z Value Calculator'!D68,1)=0,"-",ROUND('Z Value Calculator'!D68,1))</f>
        <v>-</v>
      </c>
      <c r="K101" s="9" t="s">
        <v>149</v>
      </c>
      <c r="L101" s="9" t="s">
        <v>149</v>
      </c>
      <c r="M101">
        <v>1</v>
      </c>
      <c r="N101" s="9" t="s">
        <v>149</v>
      </c>
    </row>
    <row r="102" spans="6:14" x14ac:dyDescent="0.25">
      <c r="F102" s="9" t="s">
        <v>35</v>
      </c>
      <c r="G102" s="9" t="s">
        <v>150</v>
      </c>
      <c r="H102" s="9" t="s">
        <v>150</v>
      </c>
      <c r="I102" s="9" t="s">
        <v>150</v>
      </c>
      <c r="J102" t="str">
        <f>IF(ROUND('Z Value Calculator'!D69,1)=0,"-",ROUND('Z Value Calculator'!D69,1))</f>
        <v>-</v>
      </c>
      <c r="K102" s="9" t="s">
        <v>150</v>
      </c>
      <c r="L102" s="9" t="s">
        <v>150</v>
      </c>
      <c r="M102">
        <v>1</v>
      </c>
      <c r="N102" s="9" t="s">
        <v>150</v>
      </c>
    </row>
    <row r="103" spans="6:14" x14ac:dyDescent="0.25">
      <c r="F103" s="9" t="s">
        <v>35</v>
      </c>
      <c r="G103" s="9" t="s">
        <v>151</v>
      </c>
      <c r="H103" s="9" t="s">
        <v>151</v>
      </c>
      <c r="I103" s="9" t="s">
        <v>151</v>
      </c>
      <c r="J103" t="str">
        <f>IF(ROUND('Z Value Calculator'!D70,1)=0,"-",ROUND('Z Value Calculator'!D70,1))</f>
        <v>-</v>
      </c>
      <c r="K103" s="9" t="s">
        <v>151</v>
      </c>
      <c r="L103" s="9" t="s">
        <v>151</v>
      </c>
      <c r="M103">
        <v>1</v>
      </c>
      <c r="N103" s="9" t="s">
        <v>151</v>
      </c>
    </row>
    <row r="104" spans="6:14" x14ac:dyDescent="0.25">
      <c r="F104" s="9" t="s">
        <v>35</v>
      </c>
      <c r="G104" s="9" t="s">
        <v>152</v>
      </c>
      <c r="H104" s="9" t="s">
        <v>152</v>
      </c>
      <c r="I104" s="9" t="s">
        <v>152</v>
      </c>
      <c r="J104" t="str">
        <f>IF(ROUND('Z Value Calculator'!D71,1)=0,"-",ROUND('Z Value Calculator'!D71,1))</f>
        <v>-</v>
      </c>
      <c r="K104" s="9" t="s">
        <v>152</v>
      </c>
      <c r="L104" s="9" t="s">
        <v>152</v>
      </c>
      <c r="M104">
        <v>1</v>
      </c>
      <c r="N104" s="9" t="s">
        <v>152</v>
      </c>
    </row>
    <row r="105" spans="6:14" x14ac:dyDescent="0.25">
      <c r="F105" s="9" t="s">
        <v>35</v>
      </c>
      <c r="G105" s="9" t="s">
        <v>153</v>
      </c>
      <c r="H105" s="9" t="s">
        <v>153</v>
      </c>
      <c r="I105" s="9" t="s">
        <v>153</v>
      </c>
      <c r="J105" t="str">
        <f>IF(ROUND('Z Value Calculator'!D72,1)=0,"-",ROUND('Z Value Calculator'!D72,1))</f>
        <v>-</v>
      </c>
      <c r="K105" s="9" t="s">
        <v>153</v>
      </c>
      <c r="L105" s="9" t="s">
        <v>153</v>
      </c>
      <c r="M105">
        <v>1</v>
      </c>
      <c r="N105" s="9" t="s">
        <v>153</v>
      </c>
    </row>
    <row r="106" spans="6:14" x14ac:dyDescent="0.25">
      <c r="F106" s="9" t="s">
        <v>35</v>
      </c>
      <c r="G106" s="9" t="s">
        <v>154</v>
      </c>
      <c r="H106" s="9" t="s">
        <v>154</v>
      </c>
      <c r="I106" s="9" t="s">
        <v>154</v>
      </c>
      <c r="J106" t="str">
        <f>IF(ROUND('Z Value Calculator'!E59,1)=0,"-",ROUND('Z Value Calculator'!E59,1))</f>
        <v>-</v>
      </c>
      <c r="K106" s="9" t="s">
        <v>154</v>
      </c>
      <c r="L106" s="9" t="s">
        <v>154</v>
      </c>
      <c r="M106">
        <v>1</v>
      </c>
      <c r="N106" s="9" t="s">
        <v>154</v>
      </c>
    </row>
    <row r="107" spans="6:14" x14ac:dyDescent="0.25">
      <c r="F107" s="9" t="s">
        <v>35</v>
      </c>
      <c r="G107" s="9" t="s">
        <v>155</v>
      </c>
      <c r="H107" s="9" t="s">
        <v>155</v>
      </c>
      <c r="I107" s="9" t="s">
        <v>155</v>
      </c>
      <c r="J107" t="str">
        <f>IF(ROUND('Z Value Calculator'!E60,1)=0,"-",ROUND('Z Value Calculator'!E60,1))</f>
        <v>-</v>
      </c>
      <c r="K107" s="9" t="s">
        <v>155</v>
      </c>
      <c r="L107" s="9" t="s">
        <v>155</v>
      </c>
      <c r="M107">
        <v>1</v>
      </c>
      <c r="N107" s="9" t="s">
        <v>155</v>
      </c>
    </row>
    <row r="108" spans="6:14" x14ac:dyDescent="0.25">
      <c r="F108" s="9" t="s">
        <v>35</v>
      </c>
      <c r="G108" s="9" t="s">
        <v>156</v>
      </c>
      <c r="H108" s="9" t="s">
        <v>156</v>
      </c>
      <c r="I108" s="9" t="s">
        <v>156</v>
      </c>
      <c r="J108" t="str">
        <f>IF(ROUND('Z Value Calculator'!E61,1)=0,"-",ROUND('Z Value Calculator'!E61,1))</f>
        <v>-</v>
      </c>
      <c r="K108" s="9" t="s">
        <v>156</v>
      </c>
      <c r="L108" s="9" t="s">
        <v>156</v>
      </c>
      <c r="M108">
        <v>1</v>
      </c>
      <c r="N108" s="9" t="s">
        <v>156</v>
      </c>
    </row>
    <row r="109" spans="6:14" x14ac:dyDescent="0.25">
      <c r="F109" s="9" t="s">
        <v>35</v>
      </c>
      <c r="G109" s="9" t="s">
        <v>157</v>
      </c>
      <c r="H109" s="9" t="s">
        <v>157</v>
      </c>
      <c r="I109" s="9" t="s">
        <v>157</v>
      </c>
      <c r="J109" t="str">
        <f>IF(ROUND('Z Value Calculator'!E62,1)=0,"-",ROUND('Z Value Calculator'!E62,1))</f>
        <v>-</v>
      </c>
      <c r="K109" s="9" t="s">
        <v>157</v>
      </c>
      <c r="L109" s="9" t="s">
        <v>157</v>
      </c>
      <c r="M109">
        <v>1</v>
      </c>
      <c r="N109" s="9" t="s">
        <v>157</v>
      </c>
    </row>
    <row r="110" spans="6:14" x14ac:dyDescent="0.25">
      <c r="F110" s="9" t="s">
        <v>35</v>
      </c>
      <c r="G110" s="9" t="s">
        <v>158</v>
      </c>
      <c r="H110" s="9" t="s">
        <v>158</v>
      </c>
      <c r="I110" s="9" t="s">
        <v>158</v>
      </c>
      <c r="J110" t="str">
        <f>IF(ROUND('Z Value Calculator'!E63,1)=0,"-",ROUND('Z Value Calculator'!E63,1))</f>
        <v>-</v>
      </c>
      <c r="K110" s="9" t="s">
        <v>158</v>
      </c>
      <c r="L110" s="9" t="s">
        <v>158</v>
      </c>
      <c r="M110">
        <v>1</v>
      </c>
      <c r="N110" s="9" t="s">
        <v>158</v>
      </c>
    </row>
    <row r="111" spans="6:14" x14ac:dyDescent="0.25">
      <c r="F111" s="9" t="s">
        <v>35</v>
      </c>
      <c r="G111" s="9" t="s">
        <v>159</v>
      </c>
      <c r="H111" s="9" t="s">
        <v>159</v>
      </c>
      <c r="I111" s="9" t="s">
        <v>159</v>
      </c>
      <c r="J111" t="str">
        <f>IF(ROUND('Z Value Calculator'!E64,1)=0,"-",ROUND('Z Value Calculator'!E64,1))</f>
        <v>-</v>
      </c>
      <c r="K111" s="9" t="s">
        <v>159</v>
      </c>
      <c r="L111" s="9" t="s">
        <v>159</v>
      </c>
      <c r="M111">
        <v>1</v>
      </c>
      <c r="N111" s="9" t="s">
        <v>159</v>
      </c>
    </row>
    <row r="112" spans="6:14" x14ac:dyDescent="0.25">
      <c r="F112" s="9" t="s">
        <v>35</v>
      </c>
      <c r="G112" s="9" t="s">
        <v>160</v>
      </c>
      <c r="H112" s="9" t="s">
        <v>160</v>
      </c>
      <c r="I112" s="9" t="s">
        <v>160</v>
      </c>
      <c r="J112" t="str">
        <f>IF(ROUND('Z Value Calculator'!E67,1)=0,"-",ROUND('Z Value Calculator'!E67,1))</f>
        <v>-</v>
      </c>
      <c r="K112" s="9" t="s">
        <v>160</v>
      </c>
      <c r="L112" s="9" t="s">
        <v>160</v>
      </c>
      <c r="M112">
        <v>1</v>
      </c>
      <c r="N112" s="9" t="s">
        <v>160</v>
      </c>
    </row>
    <row r="113" spans="6:14" x14ac:dyDescent="0.25">
      <c r="F113" s="9" t="s">
        <v>35</v>
      </c>
      <c r="G113" s="9" t="s">
        <v>161</v>
      </c>
      <c r="H113" s="9" t="s">
        <v>161</v>
      </c>
      <c r="I113" s="9" t="s">
        <v>161</v>
      </c>
      <c r="J113" t="str">
        <f>IF(ROUND('Z Value Calculator'!E68,1)=0,"-",ROUND('Z Value Calculator'!E68,1))</f>
        <v>-</v>
      </c>
      <c r="K113" s="9" t="s">
        <v>161</v>
      </c>
      <c r="L113" s="9" t="s">
        <v>161</v>
      </c>
      <c r="M113">
        <v>1</v>
      </c>
      <c r="N113" s="9" t="s">
        <v>161</v>
      </c>
    </row>
    <row r="114" spans="6:14" x14ac:dyDescent="0.25">
      <c r="F114" s="9" t="s">
        <v>35</v>
      </c>
      <c r="G114" s="9" t="s">
        <v>162</v>
      </c>
      <c r="H114" s="9" t="s">
        <v>162</v>
      </c>
      <c r="I114" s="9" t="s">
        <v>162</v>
      </c>
      <c r="J114" t="str">
        <f>IF(ROUND('Z Value Calculator'!E69,1)=0,"-",ROUND('Z Value Calculator'!E69,1))</f>
        <v>-</v>
      </c>
      <c r="K114" s="9" t="s">
        <v>162</v>
      </c>
      <c r="L114" s="9" t="s">
        <v>162</v>
      </c>
      <c r="M114">
        <v>1</v>
      </c>
      <c r="N114" s="9" t="s">
        <v>162</v>
      </c>
    </row>
    <row r="115" spans="6:14" x14ac:dyDescent="0.25">
      <c r="F115" s="9" t="s">
        <v>35</v>
      </c>
      <c r="G115" s="9" t="s">
        <v>163</v>
      </c>
      <c r="H115" s="9" t="s">
        <v>163</v>
      </c>
      <c r="I115" s="9" t="s">
        <v>163</v>
      </c>
      <c r="J115" t="str">
        <f>IF(ROUND('Z Value Calculator'!E70,1)=0,"-",ROUND('Z Value Calculator'!E70,1))</f>
        <v>-</v>
      </c>
      <c r="K115" s="9" t="s">
        <v>163</v>
      </c>
      <c r="L115" s="9" t="s">
        <v>163</v>
      </c>
      <c r="M115">
        <v>1</v>
      </c>
      <c r="N115" s="9" t="s">
        <v>163</v>
      </c>
    </row>
    <row r="116" spans="6:14" x14ac:dyDescent="0.25">
      <c r="F116" s="9" t="s">
        <v>35</v>
      </c>
      <c r="G116" s="9" t="s">
        <v>164</v>
      </c>
      <c r="H116" s="9" t="s">
        <v>164</v>
      </c>
      <c r="I116" s="9" t="s">
        <v>164</v>
      </c>
      <c r="J116" t="str">
        <f>IF(ROUND('Z Value Calculator'!E71,1)=0,"-",ROUND('Z Value Calculator'!E71,1))</f>
        <v>-</v>
      </c>
      <c r="K116" s="9" t="s">
        <v>164</v>
      </c>
      <c r="L116" s="9" t="s">
        <v>164</v>
      </c>
      <c r="M116">
        <v>1</v>
      </c>
      <c r="N116" s="9" t="s">
        <v>164</v>
      </c>
    </row>
    <row r="117" spans="6:14" x14ac:dyDescent="0.25">
      <c r="F117" s="9" t="s">
        <v>35</v>
      </c>
      <c r="G117" s="9" t="s">
        <v>165</v>
      </c>
      <c r="H117" s="9" t="s">
        <v>165</v>
      </c>
      <c r="I117" s="9" t="s">
        <v>165</v>
      </c>
      <c r="J117" t="str">
        <f>IF(ROUND('Z Value Calculator'!E72,1)=0,"-",ROUND('Z Value Calculator'!E72,1))</f>
        <v>-</v>
      </c>
      <c r="K117" s="9" t="s">
        <v>165</v>
      </c>
      <c r="L117" s="9" t="s">
        <v>165</v>
      </c>
      <c r="M117">
        <v>1</v>
      </c>
      <c r="N117" s="9" t="s">
        <v>165</v>
      </c>
    </row>
    <row r="118" spans="6:14" x14ac:dyDescent="0.25">
      <c r="F118" s="9" t="s">
        <v>35</v>
      </c>
      <c r="G118" s="9" t="s">
        <v>166</v>
      </c>
      <c r="H118" s="9" t="s">
        <v>166</v>
      </c>
      <c r="I118" s="9" t="s">
        <v>166</v>
      </c>
      <c r="J118" s="3" t="str">
        <f>IF(ROUND('Z Value Calculator'!F59,2)=0,"-",ROUND('Z Value Calculator'!F59,2))</f>
        <v>-</v>
      </c>
      <c r="K118" s="9" t="s">
        <v>166</v>
      </c>
      <c r="L118" s="9" t="s">
        <v>166</v>
      </c>
      <c r="M118">
        <v>1</v>
      </c>
      <c r="N118" s="9" t="s">
        <v>166</v>
      </c>
    </row>
    <row r="119" spans="6:14" x14ac:dyDescent="0.25">
      <c r="F119" s="9" t="s">
        <v>35</v>
      </c>
      <c r="G119" s="9" t="s">
        <v>167</v>
      </c>
      <c r="H119" s="9" t="s">
        <v>167</v>
      </c>
      <c r="I119" s="9" t="s">
        <v>167</v>
      </c>
      <c r="J119" s="3" t="str">
        <f>IF(ROUND('Z Value Calculator'!F60,2)=0,"-",ROUND('Z Value Calculator'!F60,2))</f>
        <v>-</v>
      </c>
      <c r="K119" s="9" t="s">
        <v>167</v>
      </c>
      <c r="L119" s="9" t="s">
        <v>167</v>
      </c>
      <c r="M119">
        <v>1</v>
      </c>
      <c r="N119" s="9" t="s">
        <v>167</v>
      </c>
    </row>
    <row r="120" spans="6:14" x14ac:dyDescent="0.25">
      <c r="F120" s="9" t="s">
        <v>35</v>
      </c>
      <c r="G120" s="9" t="s">
        <v>168</v>
      </c>
      <c r="H120" s="9" t="s">
        <v>168</v>
      </c>
      <c r="I120" s="9" t="s">
        <v>168</v>
      </c>
      <c r="J120" s="3" t="str">
        <f>IF(ROUND('Z Value Calculator'!F61,2)=0,"-",ROUND('Z Value Calculator'!F61,2))</f>
        <v>-</v>
      </c>
      <c r="K120" s="9" t="s">
        <v>168</v>
      </c>
      <c r="L120" s="9" t="s">
        <v>168</v>
      </c>
      <c r="M120">
        <v>1</v>
      </c>
      <c r="N120" s="9" t="s">
        <v>168</v>
      </c>
    </row>
    <row r="121" spans="6:14" x14ac:dyDescent="0.25">
      <c r="F121" s="9" t="s">
        <v>35</v>
      </c>
      <c r="G121" s="9" t="s">
        <v>169</v>
      </c>
      <c r="H121" s="9" t="s">
        <v>169</v>
      </c>
      <c r="I121" s="9" t="s">
        <v>169</v>
      </c>
      <c r="J121" s="3" t="str">
        <f>IF(ROUND('Z Value Calculator'!F62,2)=0,"-",ROUND('Z Value Calculator'!F62,2))</f>
        <v>-</v>
      </c>
      <c r="K121" s="9" t="s">
        <v>169</v>
      </c>
      <c r="L121" s="9" t="s">
        <v>169</v>
      </c>
      <c r="M121">
        <v>1</v>
      </c>
      <c r="N121" s="9" t="s">
        <v>169</v>
      </c>
    </row>
    <row r="122" spans="6:14" x14ac:dyDescent="0.25">
      <c r="F122" s="9" t="s">
        <v>35</v>
      </c>
      <c r="G122" s="9" t="s">
        <v>170</v>
      </c>
      <c r="H122" s="9" t="s">
        <v>170</v>
      </c>
      <c r="I122" s="9" t="s">
        <v>170</v>
      </c>
      <c r="J122" s="3" t="str">
        <f>IF(ROUND('Z Value Calculator'!F63,2)=0,"-",ROUND('Z Value Calculator'!F63,2))</f>
        <v>-</v>
      </c>
      <c r="K122" s="9" t="s">
        <v>170</v>
      </c>
      <c r="L122" s="9" t="s">
        <v>170</v>
      </c>
      <c r="M122">
        <v>1</v>
      </c>
      <c r="N122" s="9" t="s">
        <v>170</v>
      </c>
    </row>
    <row r="123" spans="6:14" x14ac:dyDescent="0.25">
      <c r="F123" s="9" t="s">
        <v>35</v>
      </c>
      <c r="G123" s="9" t="s">
        <v>171</v>
      </c>
      <c r="H123" s="9" t="s">
        <v>171</v>
      </c>
      <c r="I123" s="9" t="s">
        <v>171</v>
      </c>
      <c r="J123" s="3" t="str">
        <f>IF(ROUND('Z Value Calculator'!F64,2)=0,"-",ROUND('Z Value Calculator'!F64,2))</f>
        <v>-</v>
      </c>
      <c r="K123" s="9" t="s">
        <v>171</v>
      </c>
      <c r="L123" s="9" t="s">
        <v>171</v>
      </c>
      <c r="M123">
        <v>1</v>
      </c>
      <c r="N123" s="9" t="s">
        <v>171</v>
      </c>
    </row>
    <row r="124" spans="6:14" x14ac:dyDescent="0.25">
      <c r="F124" s="9" t="s">
        <v>35</v>
      </c>
      <c r="G124" s="9" t="s">
        <v>172</v>
      </c>
      <c r="H124" s="9" t="s">
        <v>172</v>
      </c>
      <c r="I124" s="9" t="s">
        <v>172</v>
      </c>
      <c r="J124" s="3" t="str">
        <f>IF(ROUND('Z Value Calculator'!F67,2)=0,"-",ROUND('Z Value Calculator'!F67,2))</f>
        <v>-</v>
      </c>
      <c r="K124" s="9" t="s">
        <v>172</v>
      </c>
      <c r="L124" s="9" t="s">
        <v>172</v>
      </c>
      <c r="M124">
        <v>1</v>
      </c>
      <c r="N124" s="9" t="s">
        <v>172</v>
      </c>
    </row>
    <row r="125" spans="6:14" x14ac:dyDescent="0.25">
      <c r="F125" s="9" t="s">
        <v>35</v>
      </c>
      <c r="G125" s="9" t="s">
        <v>173</v>
      </c>
      <c r="H125" s="9" t="s">
        <v>173</v>
      </c>
      <c r="I125" s="9" t="s">
        <v>173</v>
      </c>
      <c r="J125" s="3" t="str">
        <f>IF(ROUND('Z Value Calculator'!F68,2)=0,"-",ROUND('Z Value Calculator'!F68,2))</f>
        <v>-</v>
      </c>
      <c r="K125" s="9" t="s">
        <v>173</v>
      </c>
      <c r="L125" s="9" t="s">
        <v>173</v>
      </c>
      <c r="M125">
        <v>1</v>
      </c>
      <c r="N125" s="9" t="s">
        <v>173</v>
      </c>
    </row>
    <row r="126" spans="6:14" x14ac:dyDescent="0.25">
      <c r="F126" s="9" t="s">
        <v>35</v>
      </c>
      <c r="G126" s="9" t="s">
        <v>174</v>
      </c>
      <c r="H126" s="9" t="s">
        <v>174</v>
      </c>
      <c r="I126" s="9" t="s">
        <v>174</v>
      </c>
      <c r="J126" s="3" t="str">
        <f>IF(ROUND('Z Value Calculator'!F69,2)=0,"-",ROUND('Z Value Calculator'!F69,2))</f>
        <v>-</v>
      </c>
      <c r="K126" s="9" t="s">
        <v>174</v>
      </c>
      <c r="L126" s="9" t="s">
        <v>174</v>
      </c>
      <c r="M126">
        <v>1</v>
      </c>
      <c r="N126" s="9" t="s">
        <v>174</v>
      </c>
    </row>
    <row r="127" spans="6:14" x14ac:dyDescent="0.25">
      <c r="F127" s="9" t="s">
        <v>35</v>
      </c>
      <c r="G127" s="9" t="s">
        <v>175</v>
      </c>
      <c r="H127" s="9" t="s">
        <v>175</v>
      </c>
      <c r="I127" s="9" t="s">
        <v>175</v>
      </c>
      <c r="J127" s="3" t="str">
        <f>IF(ROUND('Z Value Calculator'!F70,2)=0,"-",ROUND('Z Value Calculator'!F70,2))</f>
        <v>-</v>
      </c>
      <c r="K127" s="9" t="s">
        <v>175</v>
      </c>
      <c r="L127" s="9" t="s">
        <v>175</v>
      </c>
      <c r="M127">
        <v>1</v>
      </c>
      <c r="N127" s="9" t="s">
        <v>175</v>
      </c>
    </row>
    <row r="128" spans="6:14" x14ac:dyDescent="0.25">
      <c r="F128" s="9" t="s">
        <v>35</v>
      </c>
      <c r="G128" s="9" t="s">
        <v>176</v>
      </c>
      <c r="H128" s="9" t="s">
        <v>176</v>
      </c>
      <c r="I128" s="9" t="s">
        <v>176</v>
      </c>
      <c r="J128" s="3" t="str">
        <f>IF(ROUND('Z Value Calculator'!F71,2)=0,"-",ROUND('Z Value Calculator'!F71,2))</f>
        <v>-</v>
      </c>
      <c r="K128" s="9" t="s">
        <v>176</v>
      </c>
      <c r="L128" s="9" t="s">
        <v>176</v>
      </c>
      <c r="M128">
        <v>1</v>
      </c>
      <c r="N128" s="9" t="s">
        <v>176</v>
      </c>
    </row>
    <row r="129" spans="6:14" x14ac:dyDescent="0.25">
      <c r="F129" s="9" t="s">
        <v>35</v>
      </c>
      <c r="G129" s="9" t="s">
        <v>177</v>
      </c>
      <c r="H129" s="9" t="s">
        <v>177</v>
      </c>
      <c r="I129" s="9" t="s">
        <v>177</v>
      </c>
      <c r="J129" s="3" t="str">
        <f>IF(ROUND('Z Value Calculator'!F72,2)=0,"-",ROUND('Z Value Calculator'!F72,2))</f>
        <v>-</v>
      </c>
      <c r="K129" s="9" t="s">
        <v>177</v>
      </c>
      <c r="L129" s="9" t="s">
        <v>177</v>
      </c>
      <c r="M129">
        <v>1</v>
      </c>
      <c r="N129" s="9" t="s">
        <v>177</v>
      </c>
    </row>
    <row r="130" spans="6:14" x14ac:dyDescent="0.25">
      <c r="F130" s="9" t="s">
        <v>35</v>
      </c>
      <c r="G130" s="9" t="s">
        <v>178</v>
      </c>
      <c r="H130" s="9" t="s">
        <v>178</v>
      </c>
      <c r="I130" s="9" t="s">
        <v>178</v>
      </c>
      <c r="J130" t="str">
        <f>IF(ROUND('Z Value Calculator'!I59,2)=0,"-",ROUND('Z Value Calculator'!I59,2))</f>
        <v>-</v>
      </c>
      <c r="K130" s="9" t="s">
        <v>178</v>
      </c>
      <c r="L130" s="9" t="s">
        <v>178</v>
      </c>
      <c r="M130">
        <v>1</v>
      </c>
      <c r="N130" s="9" t="s">
        <v>178</v>
      </c>
    </row>
    <row r="131" spans="6:14" x14ac:dyDescent="0.25">
      <c r="F131" s="9" t="s">
        <v>35</v>
      </c>
      <c r="G131" s="9" t="s">
        <v>179</v>
      </c>
      <c r="H131" s="9" t="s">
        <v>179</v>
      </c>
      <c r="I131" s="9" t="s">
        <v>179</v>
      </c>
      <c r="J131" t="str">
        <f>IF(ROUND('Z Value Calculator'!I60,2)=0,"-",ROUND('Z Value Calculator'!I60,2))</f>
        <v>-</v>
      </c>
      <c r="K131" s="9" t="s">
        <v>179</v>
      </c>
      <c r="L131" s="9" t="s">
        <v>179</v>
      </c>
      <c r="M131">
        <v>1</v>
      </c>
      <c r="N131" s="9" t="s">
        <v>179</v>
      </c>
    </row>
    <row r="132" spans="6:14" x14ac:dyDescent="0.25">
      <c r="F132" s="9" t="s">
        <v>35</v>
      </c>
      <c r="G132" s="9" t="s">
        <v>180</v>
      </c>
      <c r="H132" s="9" t="s">
        <v>180</v>
      </c>
      <c r="I132" s="9" t="s">
        <v>180</v>
      </c>
      <c r="J132" t="str">
        <f>IF(ROUND('Z Value Calculator'!I61,2)=0,"-",ROUND('Z Value Calculator'!I61,2))</f>
        <v>-</v>
      </c>
      <c r="K132" s="9" t="s">
        <v>180</v>
      </c>
      <c r="L132" s="9" t="s">
        <v>180</v>
      </c>
      <c r="M132">
        <v>1</v>
      </c>
      <c r="N132" s="9" t="s">
        <v>180</v>
      </c>
    </row>
    <row r="133" spans="6:14" x14ac:dyDescent="0.25">
      <c r="F133" s="9" t="s">
        <v>35</v>
      </c>
      <c r="G133" s="9" t="s">
        <v>181</v>
      </c>
      <c r="H133" s="9" t="s">
        <v>181</v>
      </c>
      <c r="I133" s="9" t="s">
        <v>181</v>
      </c>
      <c r="J133" t="str">
        <f>IF(ROUND('Z Value Calculator'!I62,2)=0,"-",ROUND('Z Value Calculator'!I62,2))</f>
        <v>-</v>
      </c>
      <c r="K133" s="9" t="s">
        <v>181</v>
      </c>
      <c r="L133" s="9" t="s">
        <v>181</v>
      </c>
      <c r="M133">
        <v>1</v>
      </c>
      <c r="N133" s="9" t="s">
        <v>181</v>
      </c>
    </row>
    <row r="134" spans="6:14" x14ac:dyDescent="0.25">
      <c r="F134" s="9" t="s">
        <v>35</v>
      </c>
      <c r="G134" s="9" t="s">
        <v>182</v>
      </c>
      <c r="H134" s="9" t="s">
        <v>182</v>
      </c>
      <c r="I134" s="9" t="s">
        <v>182</v>
      </c>
      <c r="J134" t="str">
        <f>IF(ROUND('Z Value Calculator'!I63,2)=0,"-",ROUND('Z Value Calculator'!I63,2))</f>
        <v>-</v>
      </c>
      <c r="K134" s="9" t="s">
        <v>182</v>
      </c>
      <c r="L134" s="9" t="s">
        <v>182</v>
      </c>
      <c r="M134">
        <v>1</v>
      </c>
      <c r="N134" s="9" t="s">
        <v>182</v>
      </c>
    </row>
    <row r="135" spans="6:14" x14ac:dyDescent="0.25">
      <c r="F135" s="9" t="s">
        <v>35</v>
      </c>
      <c r="G135" s="9" t="s">
        <v>183</v>
      </c>
      <c r="H135" s="9" t="s">
        <v>183</v>
      </c>
      <c r="I135" s="9" t="s">
        <v>183</v>
      </c>
      <c r="J135" t="str">
        <f>IF(ROUND('Z Value Calculator'!I64,2)=0,"-",ROUND('Z Value Calculator'!I64,2))</f>
        <v>-</v>
      </c>
      <c r="K135" s="9" t="s">
        <v>183</v>
      </c>
      <c r="L135" s="9" t="s">
        <v>183</v>
      </c>
      <c r="M135">
        <v>1</v>
      </c>
      <c r="N135" s="9" t="s">
        <v>183</v>
      </c>
    </row>
    <row r="136" spans="6:14" x14ac:dyDescent="0.25">
      <c r="F136" s="9" t="s">
        <v>35</v>
      </c>
      <c r="G136" s="9" t="s">
        <v>184</v>
      </c>
      <c r="H136" s="9" t="s">
        <v>184</v>
      </c>
      <c r="I136" s="9" t="s">
        <v>184</v>
      </c>
      <c r="J136" t="str">
        <f>IF(ROUND('Z Value Calculator'!I67,2)=0,"-",ROUND('Z Value Calculator'!I67,2))</f>
        <v>-</v>
      </c>
      <c r="K136" s="9" t="s">
        <v>184</v>
      </c>
      <c r="L136" s="9" t="s">
        <v>184</v>
      </c>
      <c r="M136">
        <v>1</v>
      </c>
      <c r="N136" s="9" t="s">
        <v>184</v>
      </c>
    </row>
    <row r="137" spans="6:14" x14ac:dyDescent="0.25">
      <c r="F137" s="9" t="s">
        <v>35</v>
      </c>
      <c r="G137" s="9" t="s">
        <v>185</v>
      </c>
      <c r="H137" s="9" t="s">
        <v>185</v>
      </c>
      <c r="I137" s="9" t="s">
        <v>185</v>
      </c>
      <c r="J137" t="str">
        <f>IF(ROUND('Z Value Calculator'!I68,2)=0,"-",ROUND('Z Value Calculator'!I68,2))</f>
        <v>-</v>
      </c>
      <c r="K137" s="9" t="s">
        <v>185</v>
      </c>
      <c r="L137" s="9" t="s">
        <v>185</v>
      </c>
      <c r="M137">
        <v>1</v>
      </c>
      <c r="N137" s="9" t="s">
        <v>185</v>
      </c>
    </row>
    <row r="138" spans="6:14" x14ac:dyDescent="0.25">
      <c r="F138" s="9" t="s">
        <v>35</v>
      </c>
      <c r="G138" s="9" t="s">
        <v>186</v>
      </c>
      <c r="H138" s="9" t="s">
        <v>186</v>
      </c>
      <c r="I138" s="9" t="s">
        <v>186</v>
      </c>
      <c r="J138" t="str">
        <f>IF(ROUND('Z Value Calculator'!I69,2)=0,"-",ROUND('Z Value Calculator'!I69,2))</f>
        <v>-</v>
      </c>
      <c r="K138" s="9" t="s">
        <v>186</v>
      </c>
      <c r="L138" s="9" t="s">
        <v>186</v>
      </c>
      <c r="M138">
        <v>1</v>
      </c>
      <c r="N138" s="9" t="s">
        <v>186</v>
      </c>
    </row>
    <row r="139" spans="6:14" x14ac:dyDescent="0.25">
      <c r="F139" s="9" t="s">
        <v>35</v>
      </c>
      <c r="G139" s="9" t="s">
        <v>187</v>
      </c>
      <c r="H139" s="9" t="s">
        <v>187</v>
      </c>
      <c r="I139" s="9" t="s">
        <v>187</v>
      </c>
      <c r="J139" t="str">
        <f>IF(ROUND('Z Value Calculator'!I70,2)=0,"-",ROUND('Z Value Calculator'!I70,2))</f>
        <v>-</v>
      </c>
      <c r="K139" s="9" t="s">
        <v>187</v>
      </c>
      <c r="L139" s="9" t="s">
        <v>187</v>
      </c>
      <c r="M139">
        <v>1</v>
      </c>
      <c r="N139" s="9" t="s">
        <v>187</v>
      </c>
    </row>
    <row r="140" spans="6:14" x14ac:dyDescent="0.25">
      <c r="F140" s="9" t="s">
        <v>35</v>
      </c>
      <c r="G140" s="9" t="s">
        <v>188</v>
      </c>
      <c r="H140" s="9" t="s">
        <v>188</v>
      </c>
      <c r="I140" s="9" t="s">
        <v>188</v>
      </c>
      <c r="J140" t="str">
        <f>IF(ROUND('Z Value Calculator'!I71,2)=0,"-",ROUND('Z Value Calculator'!I71,2))</f>
        <v>-</v>
      </c>
      <c r="K140" s="9" t="s">
        <v>188</v>
      </c>
      <c r="L140" s="9" t="s">
        <v>188</v>
      </c>
      <c r="M140">
        <v>1</v>
      </c>
      <c r="N140" s="9" t="s">
        <v>188</v>
      </c>
    </row>
    <row r="141" spans="6:14" x14ac:dyDescent="0.25">
      <c r="F141" s="9" t="s">
        <v>35</v>
      </c>
      <c r="G141" s="9" t="s">
        <v>189</v>
      </c>
      <c r="H141" s="9" t="s">
        <v>189</v>
      </c>
      <c r="I141" s="9" t="s">
        <v>189</v>
      </c>
      <c r="J141" t="str">
        <f>IF(ROUND('Z Value Calculator'!I72,2)=0,"-",ROUND('Z Value Calculator'!I72,2))</f>
        <v>-</v>
      </c>
      <c r="K141" s="9" t="s">
        <v>189</v>
      </c>
      <c r="L141" s="9" t="s">
        <v>189</v>
      </c>
      <c r="M141">
        <v>1</v>
      </c>
      <c r="N141" s="9" t="s">
        <v>189</v>
      </c>
    </row>
    <row r="142" spans="6:14" x14ac:dyDescent="0.25">
      <c r="F142" s="9" t="s">
        <v>35</v>
      </c>
      <c r="G142" s="9" t="s">
        <v>190</v>
      </c>
      <c r="H142" s="9" t="s">
        <v>190</v>
      </c>
      <c r="I142" s="9" t="s">
        <v>190</v>
      </c>
      <c r="J142" t="str">
        <f>IF(ROUND('Z Value Calculator'!K59,1)=0,"-",ROUND('Z Value Calculator'!K59,1))</f>
        <v>-</v>
      </c>
      <c r="K142" s="9" t="s">
        <v>190</v>
      </c>
      <c r="L142" s="9" t="s">
        <v>190</v>
      </c>
      <c r="M142">
        <v>1</v>
      </c>
      <c r="N142" s="9" t="s">
        <v>190</v>
      </c>
    </row>
    <row r="143" spans="6:14" x14ac:dyDescent="0.25">
      <c r="F143" s="9" t="s">
        <v>35</v>
      </c>
      <c r="G143" s="9" t="s">
        <v>191</v>
      </c>
      <c r="H143" s="9" t="s">
        <v>191</v>
      </c>
      <c r="I143" s="9" t="s">
        <v>191</v>
      </c>
      <c r="J143" t="str">
        <f>IF(ROUND('Z Value Calculator'!K60,1)=0,"-",ROUND('Z Value Calculator'!K60,1))</f>
        <v>-</v>
      </c>
      <c r="K143" s="9" t="s">
        <v>191</v>
      </c>
      <c r="L143" s="9" t="s">
        <v>191</v>
      </c>
      <c r="M143">
        <v>1</v>
      </c>
      <c r="N143" s="9" t="s">
        <v>191</v>
      </c>
    </row>
    <row r="144" spans="6:14" x14ac:dyDescent="0.25">
      <c r="F144" s="9" t="s">
        <v>35</v>
      </c>
      <c r="G144" s="9" t="s">
        <v>192</v>
      </c>
      <c r="H144" s="9" t="s">
        <v>192</v>
      </c>
      <c r="I144" s="9" t="s">
        <v>192</v>
      </c>
      <c r="J144" t="str">
        <f>IF(ROUND('Z Value Calculator'!K61,1)=0,"-",ROUND('Z Value Calculator'!K61,1))</f>
        <v>-</v>
      </c>
      <c r="K144" s="9" t="s">
        <v>192</v>
      </c>
      <c r="L144" s="9" t="s">
        <v>192</v>
      </c>
      <c r="M144">
        <v>1</v>
      </c>
      <c r="N144" s="9" t="s">
        <v>192</v>
      </c>
    </row>
    <row r="145" spans="6:14" x14ac:dyDescent="0.25">
      <c r="F145" s="9" t="s">
        <v>35</v>
      </c>
      <c r="G145" s="9" t="s">
        <v>193</v>
      </c>
      <c r="H145" s="9" t="s">
        <v>193</v>
      </c>
      <c r="I145" s="9" t="s">
        <v>193</v>
      </c>
      <c r="J145" t="str">
        <f>IF(ROUND('Z Value Calculator'!K62,1)=0,"-",ROUND('Z Value Calculator'!K62,1))</f>
        <v>-</v>
      </c>
      <c r="K145" s="9" t="s">
        <v>193</v>
      </c>
      <c r="L145" s="9" t="s">
        <v>193</v>
      </c>
      <c r="M145">
        <v>1</v>
      </c>
      <c r="N145" s="9" t="s">
        <v>193</v>
      </c>
    </row>
    <row r="146" spans="6:14" x14ac:dyDescent="0.25">
      <c r="F146" s="9" t="s">
        <v>35</v>
      </c>
      <c r="G146" s="9" t="s">
        <v>194</v>
      </c>
      <c r="H146" s="9" t="s">
        <v>194</v>
      </c>
      <c r="I146" s="9" t="s">
        <v>194</v>
      </c>
      <c r="J146" t="str">
        <f>IF(ROUND('Z Value Calculator'!K63,1)=0,"-",ROUND('Z Value Calculator'!K63,1))</f>
        <v>-</v>
      </c>
      <c r="K146" s="9" t="s">
        <v>194</v>
      </c>
      <c r="L146" s="9" t="s">
        <v>194</v>
      </c>
      <c r="M146">
        <v>1</v>
      </c>
      <c r="N146" s="9" t="s">
        <v>194</v>
      </c>
    </row>
    <row r="147" spans="6:14" x14ac:dyDescent="0.25">
      <c r="F147" s="9" t="s">
        <v>35</v>
      </c>
      <c r="G147" s="9" t="s">
        <v>195</v>
      </c>
      <c r="H147" s="9" t="s">
        <v>195</v>
      </c>
      <c r="I147" s="9" t="s">
        <v>195</v>
      </c>
      <c r="J147" t="str">
        <f>IF(ROUND('Z Value Calculator'!K64,1)=0,"-",ROUND('Z Value Calculator'!K64,1))</f>
        <v>-</v>
      </c>
      <c r="K147" s="9" t="s">
        <v>195</v>
      </c>
      <c r="L147" s="9" t="s">
        <v>195</v>
      </c>
      <c r="M147">
        <v>1</v>
      </c>
      <c r="N147" s="9" t="s">
        <v>195</v>
      </c>
    </row>
    <row r="148" spans="6:14" x14ac:dyDescent="0.25">
      <c r="F148" s="9" t="s">
        <v>35</v>
      </c>
      <c r="G148" s="9" t="s">
        <v>196</v>
      </c>
      <c r="H148" s="9" t="s">
        <v>196</v>
      </c>
      <c r="I148" s="9" t="s">
        <v>196</v>
      </c>
      <c r="J148" t="str">
        <f>IF(ROUND('Z Value Calculator'!K67,1)=0,"-",ROUND('Z Value Calculator'!K67,1))</f>
        <v>-</v>
      </c>
      <c r="K148" s="9" t="s">
        <v>196</v>
      </c>
      <c r="L148" s="9" t="s">
        <v>196</v>
      </c>
      <c r="M148">
        <v>1</v>
      </c>
      <c r="N148" s="9" t="s">
        <v>196</v>
      </c>
    </row>
    <row r="149" spans="6:14" x14ac:dyDescent="0.25">
      <c r="F149" s="9" t="s">
        <v>35</v>
      </c>
      <c r="G149" s="9" t="s">
        <v>197</v>
      </c>
      <c r="H149" s="9" t="s">
        <v>197</v>
      </c>
      <c r="I149" s="9" t="s">
        <v>197</v>
      </c>
      <c r="J149" t="str">
        <f>IF(ROUND('Z Value Calculator'!K68,1)=0,"-",ROUND('Z Value Calculator'!K68,1))</f>
        <v>-</v>
      </c>
      <c r="K149" s="9" t="s">
        <v>197</v>
      </c>
      <c r="L149" s="9" t="s">
        <v>197</v>
      </c>
      <c r="M149">
        <v>1</v>
      </c>
      <c r="N149" s="9" t="s">
        <v>197</v>
      </c>
    </row>
    <row r="150" spans="6:14" x14ac:dyDescent="0.25">
      <c r="F150" s="9" t="s">
        <v>35</v>
      </c>
      <c r="G150" s="9" t="s">
        <v>198</v>
      </c>
      <c r="H150" s="9" t="s">
        <v>198</v>
      </c>
      <c r="I150" s="9" t="s">
        <v>198</v>
      </c>
      <c r="J150" t="str">
        <f>IF(ROUND('Z Value Calculator'!K69,1)=0,"-",ROUND('Z Value Calculator'!K69,1))</f>
        <v>-</v>
      </c>
      <c r="K150" s="9" t="s">
        <v>198</v>
      </c>
      <c r="L150" s="9" t="s">
        <v>198</v>
      </c>
      <c r="M150">
        <v>1</v>
      </c>
      <c r="N150" s="9" t="s">
        <v>198</v>
      </c>
    </row>
    <row r="151" spans="6:14" x14ac:dyDescent="0.25">
      <c r="F151" s="9" t="s">
        <v>35</v>
      </c>
      <c r="G151" s="9" t="s">
        <v>199</v>
      </c>
      <c r="H151" s="9" t="s">
        <v>199</v>
      </c>
      <c r="I151" s="9" t="s">
        <v>199</v>
      </c>
      <c r="J151" t="str">
        <f>IF(ROUND('Z Value Calculator'!K70,1)=0,"-",ROUND('Z Value Calculator'!K70,1))</f>
        <v>-</v>
      </c>
      <c r="K151" s="9" t="s">
        <v>199</v>
      </c>
      <c r="L151" s="9" t="s">
        <v>199</v>
      </c>
      <c r="M151">
        <v>1</v>
      </c>
      <c r="N151" s="9" t="s">
        <v>199</v>
      </c>
    </row>
    <row r="152" spans="6:14" x14ac:dyDescent="0.25">
      <c r="F152" s="9" t="s">
        <v>35</v>
      </c>
      <c r="G152" s="9" t="s">
        <v>200</v>
      </c>
      <c r="H152" s="9" t="s">
        <v>200</v>
      </c>
      <c r="I152" s="9" t="s">
        <v>200</v>
      </c>
      <c r="J152" t="str">
        <f>IF(ROUND('Z Value Calculator'!K71,1)=0,"-",ROUND('Z Value Calculator'!K71,1))</f>
        <v>-</v>
      </c>
      <c r="K152" s="9" t="s">
        <v>200</v>
      </c>
      <c r="L152" s="9" t="s">
        <v>200</v>
      </c>
      <c r="M152">
        <v>1</v>
      </c>
      <c r="N152" s="9" t="s">
        <v>200</v>
      </c>
    </row>
    <row r="153" spans="6:14" x14ac:dyDescent="0.25">
      <c r="F153" s="9" t="s">
        <v>35</v>
      </c>
      <c r="G153" s="9" t="s">
        <v>201</v>
      </c>
      <c r="H153" s="9" t="s">
        <v>201</v>
      </c>
      <c r="I153" s="9" t="s">
        <v>201</v>
      </c>
      <c r="J153" t="str">
        <f>IF(ROUND('Z Value Calculator'!K72,1)=0,"-",ROUND('Z Value Calculator'!K72,1))</f>
        <v>-</v>
      </c>
      <c r="K153" s="9" t="s">
        <v>201</v>
      </c>
      <c r="L153" s="9" t="s">
        <v>201</v>
      </c>
      <c r="M153">
        <v>1</v>
      </c>
      <c r="N153" s="9" t="s">
        <v>201</v>
      </c>
    </row>
    <row r="154" spans="6:14" x14ac:dyDescent="0.25">
      <c r="F154" s="9" t="s">
        <v>35</v>
      </c>
      <c r="G154" s="9" t="s">
        <v>202</v>
      </c>
      <c r="H154" s="9" t="s">
        <v>202</v>
      </c>
      <c r="I154" s="9" t="s">
        <v>202</v>
      </c>
      <c r="J154" t="str">
        <f>IF(ROUND('Z Value Calculator'!L59,1)=0,"-",ROUND('Z Value Calculator'!L59,1))</f>
        <v>-</v>
      </c>
      <c r="K154" s="9" t="s">
        <v>202</v>
      </c>
      <c r="L154" s="9" t="s">
        <v>202</v>
      </c>
      <c r="M154">
        <v>1</v>
      </c>
      <c r="N154" s="9" t="s">
        <v>202</v>
      </c>
    </row>
    <row r="155" spans="6:14" x14ac:dyDescent="0.25">
      <c r="F155" s="9" t="s">
        <v>35</v>
      </c>
      <c r="G155" s="9" t="s">
        <v>203</v>
      </c>
      <c r="H155" s="9" t="s">
        <v>203</v>
      </c>
      <c r="I155" s="9" t="s">
        <v>203</v>
      </c>
      <c r="J155" t="str">
        <f>IF(ROUND('Z Value Calculator'!L60,1)=0,"-",ROUND('Z Value Calculator'!L60,1))</f>
        <v>-</v>
      </c>
      <c r="K155" s="9" t="s">
        <v>203</v>
      </c>
      <c r="L155" s="9" t="s">
        <v>203</v>
      </c>
      <c r="M155">
        <v>1</v>
      </c>
      <c r="N155" s="9" t="s">
        <v>203</v>
      </c>
    </row>
    <row r="156" spans="6:14" x14ac:dyDescent="0.25">
      <c r="F156" s="9" t="s">
        <v>35</v>
      </c>
      <c r="G156" s="9" t="s">
        <v>204</v>
      </c>
      <c r="H156" s="9" t="s">
        <v>204</v>
      </c>
      <c r="I156" s="9" t="s">
        <v>204</v>
      </c>
      <c r="J156" t="str">
        <f>IF(ROUND('Z Value Calculator'!L61,1)=0,"-",ROUND('Z Value Calculator'!L61,1))</f>
        <v>-</v>
      </c>
      <c r="K156" s="9" t="s">
        <v>204</v>
      </c>
      <c r="L156" s="9" t="s">
        <v>204</v>
      </c>
      <c r="M156">
        <v>1</v>
      </c>
      <c r="N156" s="9" t="s">
        <v>204</v>
      </c>
    </row>
    <row r="157" spans="6:14" x14ac:dyDescent="0.25">
      <c r="F157" s="9" t="s">
        <v>35</v>
      </c>
      <c r="G157" s="9" t="s">
        <v>205</v>
      </c>
      <c r="H157" s="9" t="s">
        <v>205</v>
      </c>
      <c r="I157" s="9" t="s">
        <v>205</v>
      </c>
      <c r="J157" t="str">
        <f>IF(ROUND('Z Value Calculator'!L62,1)=0,"-",ROUND('Z Value Calculator'!L62,1))</f>
        <v>-</v>
      </c>
      <c r="K157" s="9" t="s">
        <v>205</v>
      </c>
      <c r="L157" s="9" t="s">
        <v>205</v>
      </c>
      <c r="M157">
        <v>1</v>
      </c>
      <c r="N157" s="9" t="s">
        <v>205</v>
      </c>
    </row>
    <row r="158" spans="6:14" x14ac:dyDescent="0.25">
      <c r="F158" s="9" t="s">
        <v>35</v>
      </c>
      <c r="G158" s="9" t="s">
        <v>206</v>
      </c>
      <c r="H158" s="9" t="s">
        <v>206</v>
      </c>
      <c r="I158" s="9" t="s">
        <v>206</v>
      </c>
      <c r="J158" t="str">
        <f>IF(ROUND('Z Value Calculator'!L63,1)=0,"-",ROUND('Z Value Calculator'!L63,1))</f>
        <v>-</v>
      </c>
      <c r="K158" s="9" t="s">
        <v>206</v>
      </c>
      <c r="L158" s="9" t="s">
        <v>206</v>
      </c>
      <c r="M158">
        <v>1</v>
      </c>
      <c r="N158" s="9" t="s">
        <v>206</v>
      </c>
    </row>
    <row r="159" spans="6:14" x14ac:dyDescent="0.25">
      <c r="F159" s="9" t="s">
        <v>35</v>
      </c>
      <c r="G159" s="9" t="s">
        <v>207</v>
      </c>
      <c r="H159" s="9" t="s">
        <v>207</v>
      </c>
      <c r="I159" s="9" t="s">
        <v>207</v>
      </c>
      <c r="J159" t="str">
        <f>IF(ROUND('Z Value Calculator'!L64,1)=0,"-",ROUND('Z Value Calculator'!L64,1))</f>
        <v>-</v>
      </c>
      <c r="K159" s="9" t="s">
        <v>207</v>
      </c>
      <c r="L159" s="9" t="s">
        <v>207</v>
      </c>
      <c r="M159">
        <v>1</v>
      </c>
      <c r="N159" s="9" t="s">
        <v>207</v>
      </c>
    </row>
    <row r="160" spans="6:14" x14ac:dyDescent="0.25">
      <c r="F160" s="9" t="s">
        <v>35</v>
      </c>
      <c r="G160" s="9" t="s">
        <v>208</v>
      </c>
      <c r="H160" s="9" t="s">
        <v>208</v>
      </c>
      <c r="I160" s="9" t="s">
        <v>208</v>
      </c>
      <c r="J160" t="str">
        <f>IF(ROUND('Z Value Calculator'!L67,1)=0,"-",ROUND('Z Value Calculator'!L67,1))</f>
        <v>-</v>
      </c>
      <c r="K160" s="9" t="s">
        <v>208</v>
      </c>
      <c r="L160" s="9" t="s">
        <v>208</v>
      </c>
      <c r="M160">
        <v>1</v>
      </c>
      <c r="N160" s="9" t="s">
        <v>208</v>
      </c>
    </row>
    <row r="161" spans="6:14" x14ac:dyDescent="0.25">
      <c r="F161" s="9" t="s">
        <v>35</v>
      </c>
      <c r="G161" s="9" t="s">
        <v>209</v>
      </c>
      <c r="H161" s="9" t="s">
        <v>209</v>
      </c>
      <c r="I161" s="9" t="s">
        <v>209</v>
      </c>
      <c r="J161" t="str">
        <f>IF(ROUND('Z Value Calculator'!L68,1)=0,"-",ROUND('Z Value Calculator'!L68,1))</f>
        <v>-</v>
      </c>
      <c r="K161" s="9" t="s">
        <v>209</v>
      </c>
      <c r="L161" s="9" t="s">
        <v>209</v>
      </c>
      <c r="M161">
        <v>1</v>
      </c>
      <c r="N161" s="9" t="s">
        <v>209</v>
      </c>
    </row>
    <row r="162" spans="6:14" x14ac:dyDescent="0.25">
      <c r="F162" s="9" t="s">
        <v>35</v>
      </c>
      <c r="G162" s="9" t="s">
        <v>210</v>
      </c>
      <c r="H162" s="9" t="s">
        <v>210</v>
      </c>
      <c r="I162" s="9" t="s">
        <v>210</v>
      </c>
      <c r="J162" t="str">
        <f>IF(ROUND('Z Value Calculator'!L69,1)=0,"-",ROUND('Z Value Calculator'!L69,1))</f>
        <v>-</v>
      </c>
      <c r="K162" s="9" t="s">
        <v>210</v>
      </c>
      <c r="L162" s="9" t="s">
        <v>210</v>
      </c>
      <c r="M162">
        <v>1</v>
      </c>
      <c r="N162" s="9" t="s">
        <v>210</v>
      </c>
    </row>
    <row r="163" spans="6:14" x14ac:dyDescent="0.25">
      <c r="F163" s="9" t="s">
        <v>35</v>
      </c>
      <c r="G163" s="9" t="s">
        <v>211</v>
      </c>
      <c r="H163" s="9" t="s">
        <v>211</v>
      </c>
      <c r="I163" s="9" t="s">
        <v>211</v>
      </c>
      <c r="J163" t="str">
        <f>IF(ROUND('Z Value Calculator'!L70,1)=0,"-",ROUND('Z Value Calculator'!L70,1))</f>
        <v>-</v>
      </c>
      <c r="K163" s="9" t="s">
        <v>211</v>
      </c>
      <c r="L163" s="9" t="s">
        <v>211</v>
      </c>
      <c r="M163">
        <v>1</v>
      </c>
      <c r="N163" s="9" t="s">
        <v>211</v>
      </c>
    </row>
    <row r="164" spans="6:14" x14ac:dyDescent="0.25">
      <c r="F164" s="9" t="s">
        <v>35</v>
      </c>
      <c r="G164" s="9" t="s">
        <v>212</v>
      </c>
      <c r="H164" s="9" t="s">
        <v>212</v>
      </c>
      <c r="I164" s="9" t="s">
        <v>212</v>
      </c>
      <c r="J164" t="str">
        <f>IF(ROUND('Z Value Calculator'!L71,1)=0,"-",ROUND('Z Value Calculator'!L71,1))</f>
        <v>-</v>
      </c>
      <c r="K164" s="9" t="s">
        <v>212</v>
      </c>
      <c r="L164" s="9" t="s">
        <v>212</v>
      </c>
      <c r="M164">
        <v>1</v>
      </c>
      <c r="N164" s="9" t="s">
        <v>212</v>
      </c>
    </row>
    <row r="165" spans="6:14" x14ac:dyDescent="0.25">
      <c r="F165" s="9" t="s">
        <v>35</v>
      </c>
      <c r="G165" s="9" t="s">
        <v>213</v>
      </c>
      <c r="H165" s="9" t="s">
        <v>213</v>
      </c>
      <c r="I165" s="9" t="s">
        <v>213</v>
      </c>
      <c r="J165" t="str">
        <f>IF(ROUND('Z Value Calculator'!L72,1)=0,"-",ROUND('Z Value Calculator'!L72,1))</f>
        <v>-</v>
      </c>
      <c r="K165" s="9" t="s">
        <v>213</v>
      </c>
      <c r="L165" s="9" t="s">
        <v>213</v>
      </c>
      <c r="M165">
        <v>1</v>
      </c>
      <c r="N165" s="9" t="s">
        <v>213</v>
      </c>
    </row>
    <row r="166" spans="6:14" x14ac:dyDescent="0.25">
      <c r="F166" s="9" t="s">
        <v>35</v>
      </c>
      <c r="G166" s="9" t="s">
        <v>214</v>
      </c>
      <c r="H166" s="9" t="s">
        <v>214</v>
      </c>
      <c r="I166" s="9" t="s">
        <v>214</v>
      </c>
      <c r="J166" s="3" t="str">
        <f>IF(ROUND('Z Value Calculator'!M59,2)=0,"-",ROUND('Z Value Calculator'!M59,2))</f>
        <v>-</v>
      </c>
      <c r="K166" s="9" t="s">
        <v>214</v>
      </c>
      <c r="L166" s="9" t="s">
        <v>214</v>
      </c>
      <c r="M166">
        <v>1</v>
      </c>
      <c r="N166" s="9" t="s">
        <v>214</v>
      </c>
    </row>
    <row r="167" spans="6:14" x14ac:dyDescent="0.25">
      <c r="F167" s="9" t="s">
        <v>35</v>
      </c>
      <c r="G167" s="9" t="s">
        <v>215</v>
      </c>
      <c r="H167" s="9" t="s">
        <v>215</v>
      </c>
      <c r="I167" s="9" t="s">
        <v>215</v>
      </c>
      <c r="J167" s="3" t="str">
        <f>IF(ROUND('Z Value Calculator'!M60,2)=0,"-",ROUND('Z Value Calculator'!M60,2))</f>
        <v>-</v>
      </c>
      <c r="K167" s="9" t="s">
        <v>215</v>
      </c>
      <c r="L167" s="9" t="s">
        <v>215</v>
      </c>
      <c r="M167">
        <v>1</v>
      </c>
      <c r="N167" s="9" t="s">
        <v>215</v>
      </c>
    </row>
    <row r="168" spans="6:14" x14ac:dyDescent="0.25">
      <c r="F168" s="9" t="s">
        <v>35</v>
      </c>
      <c r="G168" s="9" t="s">
        <v>216</v>
      </c>
      <c r="H168" s="9" t="s">
        <v>216</v>
      </c>
      <c r="I168" s="9" t="s">
        <v>216</v>
      </c>
      <c r="J168" s="3" t="str">
        <f>IF(ROUND('Z Value Calculator'!M61,2)=0,"-",ROUND('Z Value Calculator'!M61,2))</f>
        <v>-</v>
      </c>
      <c r="K168" s="9" t="s">
        <v>216</v>
      </c>
      <c r="L168" s="9" t="s">
        <v>216</v>
      </c>
      <c r="M168">
        <v>1</v>
      </c>
      <c r="N168" s="9" t="s">
        <v>216</v>
      </c>
    </row>
    <row r="169" spans="6:14" x14ac:dyDescent="0.25">
      <c r="F169" s="9" t="s">
        <v>35</v>
      </c>
      <c r="G169" s="9" t="s">
        <v>217</v>
      </c>
      <c r="H169" s="9" t="s">
        <v>217</v>
      </c>
      <c r="I169" s="9" t="s">
        <v>217</v>
      </c>
      <c r="J169" s="3" t="str">
        <f>IF(ROUND('Z Value Calculator'!M62,2)=0,"-",ROUND('Z Value Calculator'!M62,2))</f>
        <v>-</v>
      </c>
      <c r="K169" s="9" t="s">
        <v>217</v>
      </c>
      <c r="L169" s="9" t="s">
        <v>217</v>
      </c>
      <c r="M169">
        <v>1</v>
      </c>
      <c r="N169" s="9" t="s">
        <v>217</v>
      </c>
    </row>
    <row r="170" spans="6:14" x14ac:dyDescent="0.25">
      <c r="F170" s="9" t="s">
        <v>35</v>
      </c>
      <c r="G170" s="9" t="s">
        <v>218</v>
      </c>
      <c r="H170" s="9" t="s">
        <v>218</v>
      </c>
      <c r="I170" s="9" t="s">
        <v>218</v>
      </c>
      <c r="J170" s="3" t="str">
        <f>IF(ROUND('Z Value Calculator'!M63,2)=0,"-",ROUND('Z Value Calculator'!M63,2))</f>
        <v>-</v>
      </c>
      <c r="K170" s="9" t="s">
        <v>218</v>
      </c>
      <c r="L170" s="9" t="s">
        <v>218</v>
      </c>
      <c r="M170">
        <v>1</v>
      </c>
      <c r="N170" s="9" t="s">
        <v>218</v>
      </c>
    </row>
    <row r="171" spans="6:14" x14ac:dyDescent="0.25">
      <c r="F171" s="9" t="s">
        <v>35</v>
      </c>
      <c r="G171" s="9" t="s">
        <v>219</v>
      </c>
      <c r="H171" s="9" t="s">
        <v>219</v>
      </c>
      <c r="I171" s="9" t="s">
        <v>219</v>
      </c>
      <c r="J171" s="3" t="str">
        <f>IF(ROUND('Z Value Calculator'!M64,2)=0,"-",ROUND('Z Value Calculator'!M64,2))</f>
        <v>-</v>
      </c>
      <c r="K171" s="9" t="s">
        <v>219</v>
      </c>
      <c r="L171" s="9" t="s">
        <v>219</v>
      </c>
      <c r="M171">
        <v>1</v>
      </c>
      <c r="N171" s="9" t="s">
        <v>219</v>
      </c>
    </row>
    <row r="172" spans="6:14" x14ac:dyDescent="0.25">
      <c r="F172" s="9" t="s">
        <v>35</v>
      </c>
      <c r="G172" s="9" t="s">
        <v>220</v>
      </c>
      <c r="H172" s="9" t="s">
        <v>220</v>
      </c>
      <c r="I172" s="9" t="s">
        <v>220</v>
      </c>
      <c r="J172" s="3" t="str">
        <f>IF(ROUND('Z Value Calculator'!M67,2)=0,"-",ROUND('Z Value Calculator'!M67,2))</f>
        <v>-</v>
      </c>
      <c r="K172" s="9" t="s">
        <v>220</v>
      </c>
      <c r="L172" s="9" t="s">
        <v>220</v>
      </c>
      <c r="M172">
        <v>1</v>
      </c>
      <c r="N172" s="9" t="s">
        <v>220</v>
      </c>
    </row>
    <row r="173" spans="6:14" x14ac:dyDescent="0.25">
      <c r="F173" s="9" t="s">
        <v>35</v>
      </c>
      <c r="G173" s="9" t="s">
        <v>221</v>
      </c>
      <c r="H173" s="9" t="s">
        <v>221</v>
      </c>
      <c r="I173" s="9" t="s">
        <v>221</v>
      </c>
      <c r="J173" s="3" t="str">
        <f>IF(ROUND('Z Value Calculator'!M68,2)=0,"-",ROUND('Z Value Calculator'!M68,2))</f>
        <v>-</v>
      </c>
      <c r="K173" s="9" t="s">
        <v>221</v>
      </c>
      <c r="L173" s="9" t="s">
        <v>221</v>
      </c>
      <c r="M173">
        <v>1</v>
      </c>
      <c r="N173" s="9" t="s">
        <v>221</v>
      </c>
    </row>
    <row r="174" spans="6:14" x14ac:dyDescent="0.25">
      <c r="F174" s="9" t="s">
        <v>35</v>
      </c>
      <c r="G174" s="9" t="s">
        <v>222</v>
      </c>
      <c r="H174" s="9" t="s">
        <v>222</v>
      </c>
      <c r="I174" s="9" t="s">
        <v>222</v>
      </c>
      <c r="J174" s="3" t="str">
        <f>IF(ROUND('Z Value Calculator'!M69,2)=0,"-",ROUND('Z Value Calculator'!M69,2))</f>
        <v>-</v>
      </c>
      <c r="K174" s="9" t="s">
        <v>222</v>
      </c>
      <c r="L174" s="9" t="s">
        <v>222</v>
      </c>
      <c r="M174">
        <v>1</v>
      </c>
      <c r="N174" s="9" t="s">
        <v>222</v>
      </c>
    </row>
    <row r="175" spans="6:14" x14ac:dyDescent="0.25">
      <c r="F175" s="9" t="s">
        <v>35</v>
      </c>
      <c r="G175" s="9" t="s">
        <v>223</v>
      </c>
      <c r="H175" s="9" t="s">
        <v>223</v>
      </c>
      <c r="I175" s="9" t="s">
        <v>223</v>
      </c>
      <c r="J175" s="3" t="str">
        <f>IF(ROUND('Z Value Calculator'!M70,2)=0,"-",ROUND('Z Value Calculator'!M70,2))</f>
        <v>-</v>
      </c>
      <c r="K175" s="9" t="s">
        <v>223</v>
      </c>
      <c r="L175" s="9" t="s">
        <v>223</v>
      </c>
      <c r="M175">
        <v>1</v>
      </c>
      <c r="N175" s="9" t="s">
        <v>223</v>
      </c>
    </row>
    <row r="176" spans="6:14" x14ac:dyDescent="0.25">
      <c r="F176" s="9" t="s">
        <v>35</v>
      </c>
      <c r="G176" s="9" t="s">
        <v>224</v>
      </c>
      <c r="H176" s="9" t="s">
        <v>224</v>
      </c>
      <c r="I176" s="9" t="s">
        <v>224</v>
      </c>
      <c r="J176" s="3" t="str">
        <f>IF(ROUND('Z Value Calculator'!M71,2)=0,"-",ROUND('Z Value Calculator'!M71,2))</f>
        <v>-</v>
      </c>
      <c r="K176" s="9" t="s">
        <v>224</v>
      </c>
      <c r="L176" s="9" t="s">
        <v>224</v>
      </c>
      <c r="M176">
        <v>1</v>
      </c>
      <c r="N176" s="9" t="s">
        <v>224</v>
      </c>
    </row>
    <row r="177" spans="6:14" x14ac:dyDescent="0.25">
      <c r="F177" s="9" t="s">
        <v>35</v>
      </c>
      <c r="G177" s="9" t="s">
        <v>225</v>
      </c>
      <c r="H177" s="9" t="s">
        <v>225</v>
      </c>
      <c r="I177" s="9" t="s">
        <v>225</v>
      </c>
      <c r="J177" s="3" t="str">
        <f>IF(ROUND('Z Value Calculator'!M72,2)=0,"-",ROUND('Z Value Calculator'!M72,2))</f>
        <v>-</v>
      </c>
      <c r="K177" s="9" t="s">
        <v>225</v>
      </c>
      <c r="L177" s="9" t="s">
        <v>225</v>
      </c>
      <c r="M177">
        <v>1</v>
      </c>
      <c r="N177" s="9" t="s">
        <v>225</v>
      </c>
    </row>
  </sheetData>
  <dataConsolidate/>
  <pageMargins left="0.7" right="0.7" top="0.75" bottom="0.75" header="0.3" footer="0.3"/>
  <pageSetup orientation="portrait" r:id="rId1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3F1B-DE2D-4447-B35C-83164BFE26E4}">
  <sheetPr codeName="Sheet3"/>
  <dimension ref="A1:J21"/>
  <sheetViews>
    <sheetView workbookViewId="0">
      <selection activeCell="A21" sqref="A21"/>
    </sheetView>
  </sheetViews>
  <sheetFormatPr defaultRowHeight="15" x14ac:dyDescent="0.25"/>
  <cols>
    <col min="1" max="1" width="15.5703125" customWidth="1"/>
    <col min="2" max="2" width="11.5703125" customWidth="1"/>
  </cols>
  <sheetData>
    <row r="1" spans="1:10" x14ac:dyDescent="0.25">
      <c r="A1" t="s">
        <v>0</v>
      </c>
      <c r="G1" t="s">
        <v>6</v>
      </c>
      <c r="J1" t="s">
        <v>10</v>
      </c>
    </row>
    <row r="3" spans="1:10" x14ac:dyDescent="0.25">
      <c r="A3" t="s">
        <v>1</v>
      </c>
      <c r="G3" t="s">
        <v>7</v>
      </c>
      <c r="J3" t="s">
        <v>12</v>
      </c>
    </row>
    <row r="4" spans="1:10" x14ac:dyDescent="0.25">
      <c r="A4" t="s">
        <v>4</v>
      </c>
      <c r="G4" t="s">
        <v>8</v>
      </c>
      <c r="J4" t="s">
        <v>11</v>
      </c>
    </row>
    <row r="5" spans="1:10" x14ac:dyDescent="0.25">
      <c r="A5" t="s">
        <v>3</v>
      </c>
      <c r="G5" t="s">
        <v>9</v>
      </c>
      <c r="J5" t="s">
        <v>13</v>
      </c>
    </row>
    <row r="6" spans="1:10" x14ac:dyDescent="0.25">
      <c r="A6" t="s">
        <v>2</v>
      </c>
    </row>
    <row r="7" spans="1:10" x14ac:dyDescent="0.25">
      <c r="A7" t="s">
        <v>5</v>
      </c>
    </row>
    <row r="12" spans="1:10" x14ac:dyDescent="0.25">
      <c r="A12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</sheetData>
  <dataValidations count="3">
    <dataValidation type="list" allowBlank="1" showInputMessage="1" showErrorMessage="1" sqref="B13:B16" xr:uid="{D92FF936-5203-4BD4-8B61-EEC1175408CE}">
      <formula1>$B$12:$B$13</formula1>
    </dataValidation>
    <dataValidation type="list" allowBlank="1" showInputMessage="1" showErrorMessage="1" promptTitle="Contrast type" prompt="Please select type of contrast" sqref="B12" xr:uid="{7FDE23E1-09ED-4A49-94A1-3C4885B97854}">
      <formula1>$A$20:$A$21</formula1>
    </dataValidation>
    <dataValidation type="list" allowBlank="1" showInputMessage="1" showErrorMessage="1" sqref="F20" xr:uid="{72564505-554F-4354-9A33-C1213CC0C14D}">
      <formula1>$A$20:$A$21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201136-2D75-4BC5-A046-7E621E282FE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46da4d3-ba20-4986-879c-49e262eff745}" enabled="1" method="Standard" siteId="{9f693e63-5e9e-4ced-98a4-8ab28f9d0c2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Z Value Calculator</vt:lpstr>
      <vt:lpstr>Mappings</vt:lpstr>
      <vt:lpstr>Static</vt:lpstr>
      <vt:lpstr>MeasurementSequences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Otto, Randolph</dc:creator>
  <cp:lastModifiedBy>Richmond, Eric</cp:lastModifiedBy>
  <dcterms:created xsi:type="dcterms:W3CDTF">2023-12-04T19:56:28Z</dcterms:created>
  <dcterms:modified xsi:type="dcterms:W3CDTF">2026-03-20T23:56:08Z</dcterms:modified>
</cp:coreProperties>
</file>